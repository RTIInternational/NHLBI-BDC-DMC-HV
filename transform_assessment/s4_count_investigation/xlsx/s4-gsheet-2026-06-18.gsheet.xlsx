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reference variable list" sheetId="7" r:id="rId11"/>
  </sheets>
  <definedNames/>
  <calcPr/>
</workbook>
</file>

<file path=xl/sharedStrings.xml><?xml version="1.0" encoding="utf-8"?>
<sst xmlns="http://schemas.openxmlformats.org/spreadsheetml/2006/main" count="2263" uniqueCount="1130">
  <si>
    <t>Cohort</t>
  </si>
  <si>
    <t>BDCHM Element</t>
  </si>
  <si>
    <t>BDC or Data Label</t>
  </si>
  <si>
    <t>Total Participants</t>
  </si>
  <si>
    <t>Total Cohorts</t>
  </si>
  <si>
    <t>Total Variables</t>
  </si>
  <si>
    <t>Variable Label</t>
  </si>
  <si>
    <t>Number of Measurement Observation Priority Variables</t>
  </si>
  <si>
    <t>Table S4: Raw variables and sample sizes by priority variable before harmonization</t>
  </si>
  <si>
    <t>Number of Condition CURIES</t>
  </si>
  <si>
    <t>Data Type</t>
  </si>
  <si>
    <t>Number of Procedure CURIES</t>
  </si>
  <si>
    <t>UCUM Unit</t>
  </si>
  <si>
    <t>CURIE</t>
  </si>
  <si>
    <t>Number of Drug Exposure CURIES</t>
  </si>
  <si>
    <t>Ontology CURIE</t>
  </si>
  <si>
    <t>Number of SDoH Observation Priority Variables</t>
  </si>
  <si>
    <t>OMOP Concept ID</t>
  </si>
  <si>
    <t>Number of Observations Priority Variables</t>
  </si>
  <si>
    <t>Variable Description</t>
  </si>
  <si>
    <t>Number of Demography Priority Variables</t>
  </si>
  <si>
    <t>MeasurementObservation</t>
  </si>
  <si>
    <t>8-epi-PGF2a in urine</t>
  </si>
  <si>
    <t>decimal</t>
  </si>
  <si>
    <t>Number of Person Priority Variables</t>
  </si>
  <si>
    <t>pg/mL</t>
  </si>
  <si>
    <t>ARIC</t>
  </si>
  <si>
    <t>OMOP:3011888</t>
  </si>
  <si>
    <t>Concentration of 8-epi-prostaglandin F2 alpha in urine</t>
  </si>
  <si>
    <t>Activity LP-PLA2 in blood</t>
  </si>
  <si>
    <t>CURIE label</t>
  </si>
  <si>
    <t>nmol/min/mL</t>
  </si>
  <si>
    <t>OMOP:36305170</t>
  </si>
  <si>
    <t>Measurement of the activity of the Lp-PLA2 (lipoprotein-associated phospholipase A2) enzyme in serum or plasma.</t>
  </si>
  <si>
    <t>AHI Apnea-Hypopnea Index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</si>
  <si>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</si>
  <si>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</si>
  <si>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</si>
  <si>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</si>
  <si>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CARDIA</t>
  </si>
  <si>
    <t>mg/g{creat}</t>
  </si>
  <si>
    <t>OMOP:4154347</t>
  </si>
  <si>
    <t>Measurement of the ratio of albumin to creatinine in urine. Also known as uACR.</t>
  </si>
  <si>
    <t>Albumin in blood</t>
  </si>
  <si>
    <t>g/dL</t>
  </si>
  <si>
    <t>OBA:2050068</t>
  </si>
  <si>
    <t>OMOP:2212186</t>
  </si>
  <si>
    <t>Measurement of albumin in blood serum</t>
  </si>
  <si>
    <t>Albumin in urine</t>
  </si>
  <si>
    <t>CHS</t>
  </si>
  <si>
    <t>mg/L</t>
  </si>
  <si>
    <t>OBA:VT0002871</t>
  </si>
  <si>
    <t>OMOP:2212188</t>
  </si>
  <si>
    <t>Concentration of albumin in urine</t>
  </si>
  <si>
    <t>Alcohol Consumption</t>
  </si>
  <si>
    <t>integer</t>
  </si>
  <si>
    <t>{#}/wk</t>
  </si>
  <si>
    <t>OMOP:35609491</t>
  </si>
  <si>
    <t>Prostaglandin F2 alpha [Mass/volume] in Urine</t>
  </si>
  <si>
    <t>Servings of alcohol consumed per week</t>
  </si>
  <si>
    <t>COPDGene</t>
  </si>
  <si>
    <t>ALT SGPT</t>
  </si>
  <si>
    <t>[IU]/L</t>
  </si>
  <si>
    <t>OBA:2050062</t>
  </si>
  <si>
    <t>OMOP:4146380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</si>
  <si>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</si>
  <si>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</si>
  <si>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</si>
  <si>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FHS</t>
  </si>
  <si>
    <t>Uriorcurie</t>
  </si>
  <si>
    <t>OMOP:321318</t>
  </si>
  <si>
    <t>DrugExposure</t>
  </si>
  <si>
    <t>Aspirin</t>
  </si>
  <si>
    <t>OMOP:1112807</t>
  </si>
  <si>
    <t>AST SGOT</t>
  </si>
  <si>
    <t>HCHS/SOL</t>
  </si>
  <si>
    <t>OMOP:4263457</t>
  </si>
  <si>
    <t>Priority Variable</t>
  </si>
  <si>
    <t>Concentration of AST/SGOT in blood. AST (aspartate aminotransferase), also known as SGOT (Serum Glutamic Oxaloacetic Transaminase), is typically measured in serum or plasma.</t>
  </si>
  <si>
    <t>Asthma</t>
  </si>
  <si>
    <t>Number of relevant raw variables (phv) and data points (excluding missing values)</t>
  </si>
  <si>
    <t>OMOP:4308356</t>
  </si>
  <si>
    <t>Atrial fibrillation</t>
  </si>
  <si>
    <t>JHS</t>
  </si>
  <si>
    <t>OMOP:313217</t>
  </si>
  <si>
    <t>Basophils Count</t>
  </si>
  <si>
    <t>10*3/uL</t>
  </si>
  <si>
    <t>OBA:VT0002607</t>
  </si>
  <si>
    <t>OMOP:4172647</t>
  </si>
  <si>
    <t>Concentration of basophil cells in whole blood</t>
  </si>
  <si>
    <t>Bilirubin Conjugated Direct</t>
  </si>
  <si>
    <t>mg/dL</t>
  </si>
  <si>
    <t>Abdominal aortic anuerysm (AAA)</t>
  </si>
  <si>
    <t>MESA</t>
  </si>
  <si>
    <t>HP:0005112</t>
  </si>
  <si>
    <t>OMOP:44805650</t>
  </si>
  <si>
    <t>Concentration of conjugated (or direct) bilirubin in blood, typically measured in serum or plasma</t>
  </si>
  <si>
    <t>Abdominal aortic aneurysm</t>
  </si>
  <si>
    <t>Bilirubin Total</t>
  </si>
  <si>
    <t>OMOP:4230543</t>
  </si>
  <si>
    <t>Concentration of total bilirubin in blood, typically measured in serum or plasma</t>
  </si>
  <si>
    <t>BMI</t>
  </si>
  <si>
    <t>kg/m2</t>
  </si>
  <si>
    <t>WHI</t>
  </si>
  <si>
    <t>OBA:2045455</t>
  </si>
  <si>
    <t>OMOP:3038553</t>
  </si>
  <si>
    <t>Also known as body mass index: ratio of a person's weight in kilos to the square of their height in meters</t>
  </si>
  <si>
    <t>BNP</t>
  </si>
  <si>
    <t>OBA:2045303</t>
  </si>
  <si>
    <t>OMOP:4307029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</si>
  <si>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</si>
  <si>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</si>
  <si>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</si>
  <si>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</si>
  <si>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>TOTALS</t>
  </si>
  <si>
    <t>OMOP:4099154</t>
  </si>
  <si>
    <t>ace inhibitors</t>
  </si>
  <si>
    <t>Mass of a person or other organism</t>
  </si>
  <si>
    <t>RxCUI:C09A</t>
  </si>
  <si>
    <t>BUN</t>
  </si>
  <si>
    <t>ACE inhibitors</t>
  </si>
  <si>
    <t>OBA:VT0005265</t>
  </si>
  <si>
    <t>OMOP:4017361</t>
  </si>
  <si>
    <t>Concentration of blood urea nitrogen in blood, typically measured in serum or plasma</t>
  </si>
  <si>
    <t>BUN Creatinine ratio</t>
  </si>
  <si>
    <t>{ratio}</t>
  </si>
  <si>
    <t>OMOP:4112223</t>
  </si>
  <si>
    <t>Ratio of blood urea nitrogen (BUN) to creatinine in blood, typically measured in serum or plasma</t>
  </si>
  <si>
    <t>CRP c-reactive protein</t>
  </si>
  <si>
    <t>phv</t>
  </si>
  <si>
    <t>OMOP:4208414</t>
  </si>
  <si>
    <t>n</t>
  </si>
  <si>
    <t>Concentration of c-reactive protein (CRP) in blood, typically measured in serum or plasma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</si>
  <si>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</si>
  <si>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</si>
  <si>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</si>
  <si>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</si>
  <si>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</si>
  <si>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</si>
  <si>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</si>
  <si>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</si>
  <si>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Lipoprotein associated phospholipase A2 [Enzymatic activity/volume] in Serum or Plasma</t>
  </si>
  <si>
    <t>OMOP:134057</t>
  </si>
  <si>
    <t>Carotid IMT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</si>
  <si>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</si>
  <si>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</si>
  <si>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</si>
  <si>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</si>
  <si>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OMOP:4102124</t>
  </si>
  <si>
    <t>Carotid stenosis left</t>
  </si>
  <si>
    <t>%</t>
  </si>
  <si>
    <t>OMOP:43020498</t>
  </si>
  <si>
    <t>Carotid stenosis right</t>
  </si>
  <si>
    <t>OMOP:43021859</t>
  </si>
  <si>
    <t>Person</t>
  </si>
  <si>
    <t>Cause of death</t>
  </si>
  <si>
    <t>OMOP:4083743</t>
  </si>
  <si>
    <t>Apnea Hypopnea Index</t>
  </si>
  <si>
    <t>CD40 in blood</t>
  </si>
  <si>
    <t/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</si>
  <si>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</si>
  <si>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</si>
  <si>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</si>
  <si>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</si>
  <si>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</si>
  <si>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</si>
  <si>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mmol/L</t>
  </si>
  <si>
    <t>OBA:VT0003018</t>
  </si>
  <si>
    <t>OMOP:4188066</t>
  </si>
  <si>
    <t>Concentration of chloride in blood, also known as serum chloride</t>
  </si>
  <si>
    <t>Observation</t>
  </si>
  <si>
    <t>Cigarette smoking</t>
  </si>
  <si>
    <t>SmokingStatusObservationTypeEnum</t>
  </si>
  <si>
    <t>OMOP:35811013</t>
  </si>
  <si>
    <t>Cigarette smoking status - Does not include other forms of tobacco use like pipes or chewing tobacco</t>
  </si>
  <si>
    <t>Urine albumin/creatinine ratio measurement</t>
  </si>
  <si>
    <t>COPD</t>
  </si>
  <si>
    <t>OMOP:44788836</t>
  </si>
  <si>
    <t>Creatinine in blood</t>
  </si>
  <si>
    <t>OBA:2050096</t>
  </si>
  <si>
    <t>OMOP:2212294</t>
  </si>
  <si>
    <t>Concentration of creatinine in blood, typically measured in serum or plasma</t>
  </si>
  <si>
    <t>Creatinine in urine</t>
  </si>
  <si>
    <t>OBA:VT0010540</t>
  </si>
  <si>
    <t>OMOP:3007081</t>
  </si>
  <si>
    <t>Concentration of creatinine in a sample of urine</t>
  </si>
  <si>
    <t>Cystatin C in blood</t>
  </si>
  <si>
    <t>OBA:2052375</t>
  </si>
  <si>
    <t>OMOP:4136584</t>
  </si>
  <si>
    <t>serum albumin amount</t>
  </si>
  <si>
    <t>Concentration of cystatin C in blood, typically measured in serum or plasma</t>
  </si>
  <si>
    <t>D-Dimer</t>
  </si>
  <si>
    <t>ug/mL</t>
  </si>
  <si>
    <t>OMOP:37393605</t>
  </si>
  <si>
    <t>Concentration of D-dimer in blood, can be measured in whole blood or plasma</t>
  </si>
  <si>
    <t>Death</t>
  </si>
  <si>
    <t>VitalStatusEnum</t>
  </si>
  <si>
    <t>Diabetes</t>
  </si>
  <si>
    <t>OMOP:201820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</si>
  <si>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</si>
  <si>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</si>
  <si>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</si>
  <si>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</si>
  <si>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</si>
  <si>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ng/mL</t>
  </si>
  <si>
    <t>urine albumin amount</t>
  </si>
  <si>
    <t>OBA:2052778</t>
  </si>
  <si>
    <t>OMOP:3010372</t>
  </si>
  <si>
    <t>Concentration of E-selectin in blood, typically measured in serum or plasma</t>
  </si>
  <si>
    <t>SdohObservation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</si>
  <si>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</si>
  <si>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</si>
  <si>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</si>
  <si>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</si>
  <si>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</si>
  <si>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</si>
  <si>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</si>
  <si>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</si>
  <si>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</si>
  <si>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OBA:VT0002602</t>
  </si>
  <si>
    <t>OMOP:3013115</t>
  </si>
  <si>
    <t>Concentration of eosinophil cells in whole blood</t>
  </si>
  <si>
    <t>Demography</t>
  </si>
  <si>
    <t>Ethnicity</t>
  </si>
  <si>
    <t>Alcohol</t>
  </si>
  <si>
    <t>EthnicityEnum</t>
  </si>
  <si>
    <t>OMOP:44803968</t>
  </si>
  <si>
    <t>alcohol units consumed per week</t>
  </si>
  <si>
    <t>A person's cultural heritage or ancestry</t>
  </si>
  <si>
    <t>Factor VII</t>
  </si>
  <si>
    <t>%{Normal}</t>
  </si>
  <si>
    <t>OBA:2041535</t>
  </si>
  <si>
    <t>OMOP:4217630</t>
  </si>
  <si>
    <t>Concentration of Factor VII in blood, typically measured in plasma. Also known as FVII and proconvertin</t>
  </si>
  <si>
    <t>Factor VIII</t>
  </si>
  <si>
    <t>[IU]/mL</t>
  </si>
  <si>
    <t>OBA:2041536</t>
  </si>
  <si>
    <t>OMOP:4148587</t>
  </si>
  <si>
    <t>Measure of the amount of FVIII activity in a volume of plasma</t>
  </si>
  <si>
    <t>Family history of stroke</t>
  </si>
  <si>
    <t>OMOP:4169009</t>
  </si>
  <si>
    <t>Family income</t>
  </si>
  <si>
    <t>USD</t>
  </si>
  <si>
    <t>OMOP:4076114</t>
  </si>
  <si>
    <t>The sum of the income of all family members 15 years and older living in the household over 12 months, before taxes</t>
  </si>
  <si>
    <t>aldosterone receptor blocker</t>
  </si>
  <si>
    <t>Fasting blood glucose</t>
  </si>
  <si>
    <t>RxCUI: C03DA</t>
  </si>
  <si>
    <t>Aldosterone antagonists</t>
  </si>
  <si>
    <t>OMOP:4156660</t>
  </si>
  <si>
    <t>Concentration of glucose in blood after not eating or drinking (except water) for a set period, typically 8-12 hours</t>
  </si>
  <si>
    <t>Ferritin</t>
  </si>
  <si>
    <t>OBA:VT0010513</t>
  </si>
  <si>
    <t>OMOP:4176561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</si>
  <si>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</si>
  <si>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</si>
  <si>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</si>
  <si>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</si>
  <si>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</si>
  <si>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</si>
  <si>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</si>
  <si>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</si>
  <si>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alpha 2 agonist</t>
  </si>
  <si>
    <t>Fibrinogen</t>
  </si>
  <si>
    <t>RxCUI:N0000009918</t>
  </si>
  <si>
    <t>Adrenergic alpha2-Agonists</t>
  </si>
  <si>
    <t>OBA:0000061</t>
  </si>
  <si>
    <t>OMOP:4094436</t>
  </si>
  <si>
    <t>Concentration of fibrinogen in blood, typically measured in plasma</t>
  </si>
  <si>
    <t>Fruit consumption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</si>
  <si>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</si>
  <si>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</si>
  <si>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</si>
  <si>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</si>
  <si>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</si>
  <si>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</si>
  <si>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</si>
  <si>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OMOP:4213477</t>
  </si>
  <si>
    <t>Stands for glomerular filtration rate: a measure of how much blood passes through the glomeruli</t>
  </si>
  <si>
    <t>Glucose in blood</t>
  </si>
  <si>
    <t>alpha 2 blocker</t>
  </si>
  <si>
    <t>RxCUI:N0000175553</t>
  </si>
  <si>
    <t>alpha-Adrenergic Blocker</t>
  </si>
  <si>
    <t>OBA:VT0000188</t>
  </si>
  <si>
    <t>OMOP:4149519</t>
  </si>
  <si>
    <t>Concentration of glucose in blood, can be measured in whole blood, serum, or plasma</t>
  </si>
  <si>
    <t>HDL</t>
  </si>
  <si>
    <t>OBA:VT0000184</t>
  </si>
  <si>
    <t>OMOP:4076704</t>
  </si>
  <si>
    <t>Concentration of high-density lipoprotein (HDL) in blood, typically measured in serum</t>
  </si>
  <si>
    <t>Heart rate</t>
  </si>
  <si>
    <t>{beats}/min</t>
  </si>
  <si>
    <t>OBA:1001087</t>
  </si>
  <si>
    <t>OMOP:3027018</t>
  </si>
  <si>
    <t>Number of times a heart beats per minute - also known as pulse rate</t>
  </si>
  <si>
    <t>Height</t>
  </si>
  <si>
    <t>cm</t>
  </si>
  <si>
    <t>OBA:VT0001253</t>
  </si>
  <si>
    <t>OMOP:607590</t>
  </si>
  <si>
    <t>Measure of the vertical distance of a standing person from head to foot</t>
  </si>
  <si>
    <t>alpha blockers</t>
  </si>
  <si>
    <t>Hematocrit</t>
  </si>
  <si>
    <t>RxCUI:CV150</t>
  </si>
  <si>
    <t>ALPHA BLOCKERS/RELATED</t>
  </si>
  <si>
    <t>OBA:2045381</t>
  </si>
  <si>
    <t>OMOP:4151358</t>
  </si>
  <si>
    <t>The percentage of whole blood volume that consists of red blood cells - also known as packed cell volume (PCV)</t>
  </si>
  <si>
    <t>Hemoglobin</t>
  </si>
  <si>
    <t>OBA:2060175</t>
  </si>
  <si>
    <t>OMOP:4094758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</si>
  <si>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</si>
  <si>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</si>
  <si>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</si>
  <si>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</si>
  <si>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</si>
  <si>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</si>
  <si>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OMOP:4111665</t>
  </si>
  <si>
    <t>Distance measurement taken around the fullest part of the hips</t>
  </si>
  <si>
    <t>alpha-1 agonist</t>
  </si>
  <si>
    <t>History of cardiovascular disease</t>
  </si>
  <si>
    <t>RxCUI:N0000009917</t>
  </si>
  <si>
    <t>Procedure</t>
  </si>
  <si>
    <t>Adrenergic alpha1-Agonists</t>
  </si>
  <si>
    <t>History of coronary angioplasty</t>
  </si>
  <si>
    <t>History of coronary artery bypass graft</t>
  </si>
  <si>
    <t>History of heart disease</t>
  </si>
  <si>
    <t>History of heart failure</t>
  </si>
  <si>
    <t>History of myocardial infarction</t>
  </si>
  <si>
    <t>Hypertension</t>
  </si>
  <si>
    <t>serum alanine aminotransferase amount</t>
  </si>
  <si>
    <t>Hypertension treatment</t>
  </si>
  <si>
    <t>ICAM1 in blood</t>
  </si>
  <si>
    <t>OMOP:4284103</t>
  </si>
  <si>
    <t>Concentration of Intercellular adhesion molecule 1 (ICAM-1) in blood, typically measured in serum or plasma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</si>
  <si>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</si>
  <si>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</si>
  <si>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</si>
  <si>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</si>
  <si>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</si>
  <si>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</si>
  <si>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</si>
  <si>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HP:0001681</t>
  </si>
  <si>
    <t>Interleukin 10 in blood</t>
  </si>
  <si>
    <t>Angina pectoris</t>
  </si>
  <si>
    <t>OMOP:3004578</t>
  </si>
  <si>
    <t>Concentration of Interleukin-1 beta (IL-10)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</si>
  <si>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</si>
  <si>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</si>
  <si>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</si>
  <si>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</si>
  <si>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</si>
  <si>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</si>
  <si>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</si>
  <si>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OBA:VT0010616</t>
  </si>
  <si>
    <t>Concentration of lactate in blood, typically measured in whole blood or plasma</t>
  </si>
  <si>
    <t>LDL</t>
  </si>
  <si>
    <t>anti-cholesterol drugs</t>
  </si>
  <si>
    <t>OBA:VT0000181</t>
  </si>
  <si>
    <t>RxCUI:C10A</t>
  </si>
  <si>
    <t>Concentration of low-density lipoprotein (LDL) in blood, typically measured in serum</t>
  </si>
  <si>
    <t>LIPID MODIFYING AGENTS, PLAIN</t>
  </si>
  <si>
    <t>LVH from EKG</t>
  </si>
  <si>
    <t>Lymphocytes count</t>
  </si>
  <si>
    <t>OBA:VT0000717</t>
  </si>
  <si>
    <t>Concentration of lymphocytes in whole blood</t>
  </si>
  <si>
    <t>Lymphocytes percent</t>
  </si>
  <si>
    <t>OMOP:37208690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</si>
  <si>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</si>
  <si>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</si>
  <si>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</si>
  <si>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</si>
  <si>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anti-gout or uric acid lowering</t>
  </si>
  <si>
    <t>MCP1 in blood</t>
  </si>
  <si>
    <t>RxCUI:M04</t>
  </si>
  <si>
    <t>OBA:2052436</t>
  </si>
  <si>
    <t>ANTIGOUT PREPARATIONS</t>
  </si>
  <si>
    <t>Concentration of Monocyte Chemoattractant Protein-1 (MCP-1), also known as CCL2, in blood, typically in serum or plasma</t>
  </si>
  <si>
    <t>Mean arterial pressure</t>
  </si>
  <si>
    <t>OBA:VT2000000</t>
  </si>
  <si>
    <t>Average pressure in your arteries throughout one complete cardiac cycle, also known as MAP</t>
  </si>
  <si>
    <t>Mean corpuscular hemoglobin</t>
  </si>
  <si>
    <t>pg/{cell}</t>
  </si>
  <si>
    <t>OBA:2045301</t>
  </si>
  <si>
    <t>Average amount of hemoglobin in each red blood cell, also known as MCH</t>
  </si>
  <si>
    <t>Mean corpuscular hemoglobin concentration</t>
  </si>
  <si>
    <t>ANTIARRHYTHMICS</t>
  </si>
  <si>
    <t>ATC:C01B</t>
  </si>
  <si>
    <t>OMOP:37393850</t>
  </si>
  <si>
    <t>ANTIARRHYTHMICS, CLASS I AND III</t>
  </si>
  <si>
    <t>Average concentration of hemoglobin within a single red blood cell, also known as MCHC</t>
  </si>
  <si>
    <t>Mean corpuscular volume</t>
  </si>
  <si>
    <t>Table S5: Priority Variables after harmonization - Continuous</t>
  </si>
  <si>
    <t>fL</t>
  </si>
  <si>
    <t>OBA:0003460</t>
  </si>
  <si>
    <t>Average size/volume of a red blood cell, also known as MCV</t>
  </si>
  <si>
    <t>Mean platelet volume</t>
  </si>
  <si>
    <t>OBA:0003277</t>
  </si>
  <si>
    <t>Average size/volume of a platelet, also known as MPV</t>
  </si>
  <si>
    <t>MMP9 in blood</t>
  </si>
  <si>
    <t>nulls/missing</t>
  </si>
  <si>
    <t>OBA:2052397</t>
  </si>
  <si>
    <t>Concentration of Matrix Metalloproteinase-9 (MMP-9) in blood, typically measured in serum or plasma</t>
  </si>
  <si>
    <t>mean</t>
  </si>
  <si>
    <t>median</t>
  </si>
  <si>
    <t>Monocytes count</t>
  </si>
  <si>
    <t>max</t>
  </si>
  <si>
    <t>anticoagulant</t>
  </si>
  <si>
    <t>OBA:VT0000223</t>
  </si>
  <si>
    <t>RxCUI:N0000175980</t>
  </si>
  <si>
    <t>Concentration of monocyte cells in whole blood</t>
  </si>
  <si>
    <t>min</t>
  </si>
  <si>
    <t>Anti-coagulant</t>
  </si>
  <si>
    <t>sd</t>
  </si>
  <si>
    <t>Myeloperoxidase in blood</t>
  </si>
  <si>
    <t>enums</t>
  </si>
  <si>
    <t>OBA:2052389</t>
  </si>
  <si>
    <t>Concentration of Myeloperoxidase (MPO) in blood, typically measured in plasma or serum</t>
  </si>
  <si>
    <t>participants</t>
  </si>
  <si>
    <t>Neutrophils count</t>
  </si>
  <si>
    <t>OBA:VT0000222</t>
  </si>
  <si>
    <t>Concentration of neutrophil cells in whole blood</t>
  </si>
  <si>
    <t>Neutrophils percent</t>
  </si>
  <si>
    <t>%{WBCs}</t>
  </si>
  <si>
    <t>OMOP:37208698</t>
  </si>
  <si>
    <t>Percent of total leukocytes that are neutrophils</t>
  </si>
  <si>
    <t>NT pro BNP</t>
  </si>
  <si>
    <t>OBA:2045349</t>
  </si>
  <si>
    <t>Concentration of NT-proBNP in blood, typically measured in serum or plasma. Also known as N-terminal prohormone of brain natriuretic peptide</t>
  </si>
  <si>
    <t>antihistamines</t>
  </si>
  <si>
    <t>RxCUI:AH000</t>
  </si>
  <si>
    <t>Obesity</t>
  </si>
  <si>
    <t>ANTIHISTAMINES</t>
  </si>
  <si>
    <t>ConditionStatusEnum</t>
  </si>
  <si>
    <t>Osteoprotegerin in blood</t>
  </si>
  <si>
    <t>OMOP:1552124</t>
  </si>
  <si>
    <t>Concentration of Osteoprotegerin (OPG) in blood, typically measured in serum or plasma</t>
  </si>
  <si>
    <t>P-selectin in blood</t>
  </si>
  <si>
    <t>OBA:2052701</t>
  </si>
  <si>
    <t>Concentration of P-selectin in blood, typically measured in plasma</t>
  </si>
  <si>
    <t>Pacemaker implant status</t>
  </si>
  <si>
    <t>BaseEnum</t>
  </si>
  <si>
    <t>Peripheral arterial disease</t>
  </si>
  <si>
    <t>Platelet count</t>
  </si>
  <si>
    <t>ANTIULCER (TAGAMET, RANITIDINE, PROBANTHINE, H-ION INHIBITORS)</t>
  </si>
  <si>
    <t>OMOP:4267147</t>
  </si>
  <si>
    <t>RxCUI:GA300</t>
  </si>
  <si>
    <t>Concentration of platelets in whole blood</t>
  </si>
  <si>
    <t>ANTIULCER AGENTS</t>
  </si>
  <si>
    <t>Potassium in blood</t>
  </si>
  <si>
    <t>OBA:VT0002668</t>
  </si>
  <si>
    <t>Concentration of potassium in blood, typically measured in whole blood or serum</t>
  </si>
  <si>
    <t>PR interval</t>
  </si>
  <si>
    <t>ms</t>
  </si>
  <si>
    <t>OMOP:4274406</t>
  </si>
  <si>
    <t>Time it takes for electrical impulses to travel from the atria to the ventricles of the heart. Measured using ECG/EKG</t>
  </si>
  <si>
    <t>QRS interval</t>
  </si>
  <si>
    <t>OBA:1001086</t>
  </si>
  <si>
    <t>Time that elapses from the beginning of the Q wave to the end of the S wave. Measured using ECG/EKG</t>
  </si>
  <si>
    <t>QT interval</t>
  </si>
  <si>
    <t>Arterial embolism and/or thrombosis</t>
  </si>
  <si>
    <t>OMOP:4273023</t>
  </si>
  <si>
    <t>HP:0004420</t>
  </si>
  <si>
    <t>Time it takes for the ventricles of the heart to depolarize and repolarize. Measured using ECG/EKG</t>
  </si>
  <si>
    <t>Arterial thrombosis</t>
  </si>
  <si>
    <t>Race</t>
  </si>
  <si>
    <t>RaceEnum</t>
  </si>
  <si>
    <t>OMOP:4013886</t>
  </si>
  <si>
    <t>Self-reported category reflecting an individual's identity and social understanding of race in the United States</t>
  </si>
  <si>
    <t>Red blood cell count</t>
  </si>
  <si>
    <t>10*6/uL</t>
  </si>
  <si>
    <t>OBA:VT0001586</t>
  </si>
  <si>
    <t>Concentration of red blood cells in whole blood</t>
  </si>
  <si>
    <t>Red cell distribution width</t>
  </si>
  <si>
    <t>OMOP:37397924</t>
  </si>
  <si>
    <t>Measure of the variation in the size and volume of red blood cells, also known as RDW. SD or CV?</t>
  </si>
  <si>
    <t>Sex</t>
  </si>
  <si>
    <t>SexEnum</t>
  </si>
  <si>
    <t>OMOP:3046965</t>
  </si>
  <si>
    <t>Self-reported category reflecting an individual's biological sex and/or gender identity</t>
  </si>
  <si>
    <t>Sleep apnea status</t>
  </si>
  <si>
    <t>RxCUI:1191</t>
  </si>
  <si>
    <t>aspirin</t>
  </si>
  <si>
    <t>Sleep hours</t>
  </si>
  <si>
    <t>h</t>
  </si>
  <si>
    <t>OBA:2040171</t>
  </si>
  <si>
    <t>Cumulative amount of time spent sleeping each night</t>
  </si>
  <si>
    <t>Sodium in blood</t>
  </si>
  <si>
    <t>OBA:VT0001776</t>
  </si>
  <si>
    <t>Concentration of sodium in blood, typically measured in serum or plasma</t>
  </si>
  <si>
    <t>Sodium intake</t>
  </si>
  <si>
    <t>mg/d</t>
  </si>
  <si>
    <t>OMOP:606729</t>
  </si>
  <si>
    <t>Mass of sodium consumed by an individual per day</t>
  </si>
  <si>
    <t>SpO2</t>
  </si>
  <si>
    <t>OBA:2045443</t>
  </si>
  <si>
    <t>Percentage of oxygen-carrying hemoglobin in the blood compared to the total amount of hemoglobin. Also known as oxygen saturation.</t>
  </si>
  <si>
    <t>Stroke status</t>
  </si>
  <si>
    <t>Aspartate aminotransferase measurement</t>
  </si>
  <si>
    <t>Systolic blood pressure</t>
  </si>
  <si>
    <t>OMOP:4152194</t>
  </si>
  <si>
    <t>Measurement of pressure in your arteries when your heart pumps blood, the top number in a blood pressure reading</t>
  </si>
  <si>
    <t>Taking ACE inhibitors</t>
  </si>
  <si>
    <t>Taking aldosterone receptor blockers</t>
  </si>
  <si>
    <t>Taking alpha blockers</t>
  </si>
  <si>
    <t>Taking angiotensin receptor blockers</t>
  </si>
  <si>
    <t>Taking beta blockers</t>
  </si>
  <si>
    <t>Taking calcium channel blockers</t>
  </si>
  <si>
    <t>MONDO:0004979</t>
  </si>
  <si>
    <t>Taking centrally acting agents</t>
  </si>
  <si>
    <t>asthma</t>
  </si>
  <si>
    <t>Taking diuretics</t>
  </si>
  <si>
    <t>Taking insulin</t>
  </si>
  <si>
    <t>Taking medication for diabetes</t>
  </si>
  <si>
    <t>Taking non statin medication</t>
  </si>
  <si>
    <t>Taking oral hypoglycemic agents</t>
  </si>
  <si>
    <t>Taking statin medication</t>
  </si>
  <si>
    <t>Taking systemic steroids</t>
  </si>
  <si>
    <t>Taking vasodilators</t>
  </si>
  <si>
    <t>Atherosclerosis of arteries of the lower extremities - hard cardiovascular disease</t>
  </si>
  <si>
    <t>HP:0002621</t>
  </si>
  <si>
    <t>Atherosclerosis</t>
  </si>
  <si>
    <t>Temperature</t>
  </si>
  <si>
    <t>Cel</t>
  </si>
  <si>
    <t>OBA:VT0005535</t>
  </si>
  <si>
    <t>An individual's internal body temperature</t>
  </si>
  <si>
    <t>TNFa in blood</t>
  </si>
  <si>
    <t>OBA:2051979</t>
  </si>
  <si>
    <t>Concentration of TNF in blood, typically measured in serum or plasma. Also known as TNF-alpha, TNFα,  and tumor necrosis factor</t>
  </si>
  <si>
    <t>TNFa-R1 in blood</t>
  </si>
  <si>
    <t>OBA:2051975</t>
  </si>
  <si>
    <t>Concentration of TNF receptor 1  in blood, typically measured in serum or plasma. Also known as TNFR1, TNFRSF1A, CD120a, and tumor necrosis factor receptor 1</t>
  </si>
  <si>
    <t>Total cholesterol in blood</t>
  </si>
  <si>
    <t>OBA:VT0000180</t>
  </si>
  <si>
    <t>Concentration of all cholesterol in your blood, including both HDL and LDL</t>
  </si>
  <si>
    <t>Triglycerides in blood</t>
  </si>
  <si>
    <t>MONDO:0004981</t>
  </si>
  <si>
    <t>atrial fibrillation</t>
  </si>
  <si>
    <t>OBA:VT0002644</t>
  </si>
  <si>
    <t>Concentration of triglycerides in blood, typically measured in serum or plasma</t>
  </si>
  <si>
    <t>Troponin all types</t>
  </si>
  <si>
    <t>OMOP:4021291</t>
  </si>
  <si>
    <t>Concentration of all types of troponin in blood</t>
  </si>
  <si>
    <t>Valvular heart disease</t>
  </si>
  <si>
    <t>Vegetable consumption</t>
  </si>
  <si>
    <t>OMOP:4042886</t>
  </si>
  <si>
    <t>Servings of vegetables consumed per week</t>
  </si>
  <si>
    <t>Venous thromboembolism</t>
  </si>
  <si>
    <t>Von Willebrand factor</t>
  </si>
  <si>
    <t>atrial flutter</t>
  </si>
  <si>
    <t>OBA:2052741</t>
  </si>
  <si>
    <t>MONDO:0005310</t>
  </si>
  <si>
    <t>Concentration of von willebrand factor in blood</t>
  </si>
  <si>
    <t>Waist circumference</t>
  </si>
  <si>
    <t>OBA:1001085</t>
  </si>
  <si>
    <t>Distance measurement taken around the waist, just above the hip bone</t>
  </si>
  <si>
    <t>Waist-hip ratio</t>
  </si>
  <si>
    <t>OMOP:4087501</t>
  </si>
  <si>
    <t>Ratio of the circumference of the waist to the circumference of the hips</t>
  </si>
  <si>
    <t>White blood cell count</t>
  </si>
  <si>
    <t>OBA:VT0000217</t>
  </si>
  <si>
    <t>Concentration of white blood cells in whole blood</t>
  </si>
  <si>
    <t>AV node ablation</t>
  </si>
  <si>
    <t>OMOP:4323629</t>
  </si>
  <si>
    <t>Ablation of atrioventricular node</t>
  </si>
  <si>
    <t>basophils count</t>
  </si>
  <si>
    <t>basophil quantity</t>
  </si>
  <si>
    <t>beta blockers</t>
  </si>
  <si>
    <t>RxCUI:C07A</t>
  </si>
  <si>
    <t>beta blocking agents</t>
  </si>
  <si>
    <t>beta blockers and diuretics</t>
  </si>
  <si>
    <t>RxCUI:C07D</t>
  </si>
  <si>
    <t xml:space="preserve">BETA BLOCKING AGENTS, THIAZIDES AND OTHER DIURETICS </t>
  </si>
  <si>
    <t>Conjugated bilirubin measurement</t>
  </si>
  <si>
    <t>Bilirubin total</t>
  </si>
  <si>
    <t>Bilirubin, total measurement</t>
  </si>
  <si>
    <t>Bilirubin Unconjugated Indirect</t>
  </si>
  <si>
    <t>OBA:VT0001569</t>
  </si>
  <si>
    <t>blood bilirubin amount</t>
  </si>
  <si>
    <t>body mass to height ratio</t>
  </si>
  <si>
    <t>Table S5: Priority Variables after harmonization - Categorical</t>
  </si>
  <si>
    <t>Current</t>
  </si>
  <si>
    <t>Former</t>
  </si>
  <si>
    <t>Never</t>
  </si>
  <si>
    <t>Unknown</t>
  </si>
  <si>
    <t>natriuretic peptides B level</t>
  </si>
  <si>
    <t>Alive</t>
  </si>
  <si>
    <t>Dead</t>
  </si>
  <si>
    <t>Hispanic or Latino</t>
  </si>
  <si>
    <t>Not Hispanic or Latino</t>
  </si>
  <si>
    <t>American Indian or Alaska Native</t>
  </si>
  <si>
    <t>Asian</t>
  </si>
  <si>
    <t>Black or African American</t>
  </si>
  <si>
    <t>Native Hawaiian or Other Pacific Islander</t>
  </si>
  <si>
    <t>body mass</t>
  </si>
  <si>
    <t>White</t>
  </si>
  <si>
    <t>More than One Race</t>
  </si>
  <si>
    <t>Male</t>
  </si>
  <si>
    <t>Female</t>
  </si>
  <si>
    <t>blood urea nitrogen amount</t>
  </si>
  <si>
    <t>BUN/Creatinine ratio</t>
  </si>
  <si>
    <t>c-reactive protein CRP</t>
  </si>
  <si>
    <t>C-reactive protein measurement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</si>
  <si>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</si>
  <si>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</si>
  <si>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</si>
  <si>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</si>
  <si>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</si>
  <si>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</si>
  <si>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0: 7,432; 1-24: 4,113; 25-49: 2,191; 50-74: 151; 75-99: 39; 100: 19</t>
  </si>
  <si>
    <t>Carotid endarterectomy/angioplasty</t>
  </si>
  <si>
    <t>OMOP:1242799</t>
  </si>
  <si>
    <t>Operation on carotid artery</t>
  </si>
  <si>
    <t>0: 7,321; 1-24: 4,170; 25-49: 2,257; 50-74: 175; 75-99: 39; 100: 19</t>
  </si>
  <si>
    <t>Carotid intima media thickness</t>
  </si>
  <si>
    <t>Carotid atherosclerosis</t>
  </si>
  <si>
    <t>Fasting lipids</t>
  </si>
  <si>
    <t>Fruits</t>
  </si>
  <si>
    <t>Carotid artery stenosis left</t>
  </si>
  <si>
    <t>Carotid artery stenosis right</t>
  </si>
  <si>
    <t>Interleukin 18 in blood</t>
  </si>
  <si>
    <t>interleukin 6 in blood</t>
  </si>
  <si>
    <t>OMOP:45883537: 196,276; OMOP:45883458: 173,424; OMOP:40766945: 109,123; OMOP:45885135: 1,753; UNKNOWN: 31</t>
  </si>
  <si>
    <t>mean corpuscular hemoglobin</t>
  </si>
  <si>
    <t>mean corpuscular hemoglobin concentration</t>
  </si>
  <si>
    <t>mean corpuscular volume</t>
  </si>
  <si>
    <t>mean platelet volume</t>
  </si>
  <si>
    <t>Medication adherence</t>
  </si>
  <si>
    <t>monocytes count</t>
  </si>
  <si>
    <t>amount of CD40 ligand (human) in blood</t>
  </si>
  <si>
    <t>peripheral arterial disease</t>
  </si>
  <si>
    <t>Sleep apnea</t>
  </si>
  <si>
    <t>Cerebral embolism</t>
  </si>
  <si>
    <t>MONDO:0006809</t>
  </si>
  <si>
    <t>intracranial embolism</t>
  </si>
  <si>
    <t>Stroke</t>
  </si>
  <si>
    <t>Center for Epidemiologic Studies Depression Scale-Revised total score [CESD-R]</t>
  </si>
  <si>
    <t>Vegetables</t>
  </si>
  <si>
    <t>von Willebrand factor</t>
  </si>
  <si>
    <t>blood chloride amount</t>
  </si>
  <si>
    <t>Chlorpropamide</t>
  </si>
  <si>
    <t>RxCUI:2404</t>
  </si>
  <si>
    <t>OMOP:4282779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</si>
  <si>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</si>
  <si>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</si>
  <si>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</si>
  <si>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</si>
  <si>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</si>
  <si>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</si>
  <si>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</si>
  <si>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</si>
  <si>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</si>
  <si>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</si>
  <si>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</si>
  <si>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</si>
  <si>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</si>
  <si>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</si>
  <si>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</si>
  <si>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</si>
  <si>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</si>
  <si>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</si>
  <si>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</si>
  <si>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</si>
  <si>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</si>
  <si>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0.0: 38,260; 0.5: 33,704; 3.0: 31,877; 1.0: 30,247; 7.0: 23,545; 5.5: 7,945; 17.5: 2,982; 35.0: 390; 42.0: 116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</si>
  <si>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</si>
  <si>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</si>
  <si>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</si>
  <si>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</si>
  <si>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</si>
  <si>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</si>
  <si>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</si>
  <si>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</si>
  <si>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</si>
  <si>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</si>
  <si>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COPD status</t>
  </si>
  <si>
    <t>level of coagulation factor VII in blood serum</t>
  </si>
  <si>
    <t>level of coagulation factor VIII in blood serum</t>
  </si>
  <si>
    <t>Household income</t>
  </si>
  <si>
    <t>Fasting blood glucose measurement</t>
  </si>
  <si>
    <t>OMOP:4150326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</si>
  <si>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</si>
  <si>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</si>
  <si>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</si>
  <si>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</si>
  <si>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</si>
  <si>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</si>
  <si>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</si>
  <si>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Glomerular filtration rate</t>
  </si>
  <si>
    <t>GLIMEPRIRIDE</t>
  </si>
  <si>
    <t>RxCUI:25789</t>
  </si>
  <si>
    <t>glimepiride</t>
  </si>
  <si>
    <t>Glipizide</t>
  </si>
  <si>
    <t>RxCUI:4821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</si>
  <si>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</si>
  <si>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</si>
  <si>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</si>
  <si>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</si>
  <si>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</si>
  <si>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</si>
  <si>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</si>
  <si>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</si>
  <si>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</si>
  <si>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</si>
  <si>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</si>
  <si>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</si>
  <si>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</si>
  <si>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</si>
  <si>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</si>
  <si>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</si>
  <si>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</si>
  <si>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</si>
  <si>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</si>
  <si>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</si>
  <si>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</si>
  <si>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</si>
  <si>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</si>
  <si>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</si>
  <si>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</si>
  <si>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</si>
  <si>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</si>
  <si>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</si>
  <si>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</si>
  <si>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</si>
  <si>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</si>
  <si>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</si>
  <si>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</si>
  <si>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</si>
  <si>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</si>
  <si>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</si>
  <si>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</si>
  <si>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</si>
  <si>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</si>
  <si>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</si>
  <si>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</si>
  <si>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</si>
  <si>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</si>
  <si>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</si>
  <si>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</si>
  <si>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</si>
  <si>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</si>
  <si>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</si>
  <si>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</si>
  <si>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</si>
  <si>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</si>
  <si>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</si>
  <si>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</si>
  <si>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</si>
  <si>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</si>
  <si>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</si>
  <si>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</si>
  <si>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</si>
  <si>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0.5: 85,539; 0.0: 82,093; 1.0: 78,204; 3.0: 49,879; 5.5: 6,792; 7.0: 6,296; 17.5: 888; 35.0: 138; 42.0: 62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</si>
  <si>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</si>
  <si>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</si>
  <si>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</si>
  <si>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</si>
  <si>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</si>
  <si>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</si>
  <si>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</si>
  <si>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</si>
  <si>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</si>
  <si>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</si>
  <si>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</si>
  <si>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</si>
  <si>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</si>
  <si>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</si>
  <si>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</si>
  <si>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</si>
  <si>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</si>
  <si>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</si>
  <si>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</si>
  <si>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</si>
  <si>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</si>
  <si>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</si>
  <si>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</si>
  <si>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</si>
  <si>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</si>
  <si>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</si>
  <si>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</si>
  <si>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</si>
  <si>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</si>
  <si>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</si>
  <si>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</si>
  <si>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</si>
  <si>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</si>
  <si>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</si>
  <si>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</si>
  <si>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</si>
  <si>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</si>
  <si>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</si>
  <si>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</si>
  <si>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</si>
  <si>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</si>
  <si>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</si>
  <si>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</si>
  <si>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</si>
  <si>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</si>
  <si>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</si>
  <si>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</si>
  <si>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</si>
  <si>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</si>
  <si>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</si>
  <si>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</si>
  <si>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</si>
  <si>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</si>
  <si>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</si>
  <si>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</si>
  <si>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</si>
  <si>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</si>
  <si>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</si>
  <si>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</si>
  <si>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</si>
  <si>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</si>
  <si>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</si>
  <si>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</si>
  <si>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</si>
  <si>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</si>
  <si>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</si>
  <si>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</si>
  <si>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</si>
  <si>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</si>
  <si>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</si>
  <si>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</si>
  <si>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</si>
  <si>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</si>
  <si>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</si>
  <si>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</si>
  <si>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</si>
  <si>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</si>
  <si>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</si>
  <si>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</si>
  <si>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</si>
  <si>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</si>
  <si>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</si>
  <si>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</si>
  <si>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</si>
  <si>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</si>
  <si>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</si>
  <si>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</si>
  <si>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</si>
  <si>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</si>
  <si>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</si>
  <si>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</si>
  <si>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</si>
  <si>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</si>
  <si>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</si>
  <si>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</si>
  <si>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</si>
  <si>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</si>
  <si>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</si>
  <si>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</si>
  <si>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</si>
  <si>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</si>
  <si>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</si>
  <si>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</si>
  <si>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-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</si>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</sst>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1">
    <font>
      <sz val="10.0"/>
      <color rgb="FF000000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&quot;Aptos Narrow&quot;"/>
    </font>
    <font>
      <sz val="10.0"/>
      <color rgb="FF1B1B1B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4" numFmtId="164" xfId="0" applyAlignment="1" applyFont="1" applyNumberFormat="1">
      <alignment horizontal="left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0" fontId="4" numFmtId="3" xfId="0" applyFont="1" applyNumberFormat="1"/>
    <xf borderId="0" fillId="0" fontId="4" numFmtId="164" xfId="0" applyFont="1" applyNumberFormat="1"/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/>
    </xf>
    <xf borderId="0" fillId="0" fontId="5" numFmtId="0" xfId="0" applyAlignment="1" applyFont="1">
      <alignment readingOrder="0" vertical="bottom"/>
    </xf>
    <xf borderId="0" fillId="0" fontId="4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0" fontId="8" numFmtId="0" xfId="0" applyFont="1"/>
    <xf borderId="0" fillId="0" fontId="8" numFmtId="3" xfId="0" applyFont="1" applyNumberForma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shrinkToFit="0" vertical="bottom" wrapText="0"/>
    </xf>
    <xf borderId="0" fillId="0" fontId="9" numFmtId="0" xfId="0" applyFont="1"/>
    <xf borderId="0" fillId="0" fontId="9" numFmtId="3" xfId="0" applyAlignment="1" applyFont="1" applyNumberFormat="1">
      <alignment readingOrder="0"/>
    </xf>
    <xf borderId="0" fillId="0" fontId="9" numFmtId="3" xfId="0" applyFont="1" applyNumberFormat="1"/>
    <xf borderId="0" fillId="0" fontId="9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6" width="14.0"/>
    <col customWidth="1" min="7" max="7" width="86.13"/>
  </cols>
  <sheetData>
    <row r="1" ht="52.5" customHeight="1">
      <c r="A1" s="2" t="s">
        <v>1</v>
      </c>
      <c r="B1" s="2" t="s">
        <v>6</v>
      </c>
      <c r="C1" s="2" t="s">
        <v>10</v>
      </c>
      <c r="D1" s="2" t="s">
        <v>12</v>
      </c>
      <c r="E1" s="2" t="s">
        <v>15</v>
      </c>
      <c r="F1" s="2" t="s">
        <v>17</v>
      </c>
      <c r="G1" s="2" t="s">
        <v>19</v>
      </c>
    </row>
    <row r="2">
      <c r="A2" s="5" t="s">
        <v>21</v>
      </c>
      <c r="B2" s="5" t="s">
        <v>22</v>
      </c>
      <c r="C2" s="5" t="s">
        <v>23</v>
      </c>
      <c r="D2" s="5" t="s">
        <v>25</v>
      </c>
      <c r="E2" s="5"/>
      <c r="F2" s="5" t="s">
        <v>27</v>
      </c>
      <c r="G2" s="5" t="s">
        <v>28</v>
      </c>
    </row>
    <row r="3">
      <c r="A3" s="5" t="s">
        <v>21</v>
      </c>
      <c r="B3" s="5" t="s">
        <v>29</v>
      </c>
      <c r="C3" s="5" t="s">
        <v>23</v>
      </c>
      <c r="D3" s="5" t="s">
        <v>31</v>
      </c>
      <c r="E3" s="5"/>
      <c r="F3" s="5" t="s">
        <v>32</v>
      </c>
      <c r="G3" s="5" t="s">
        <v>33</v>
      </c>
    </row>
    <row r="4">
      <c r="A4" s="5" t="s">
        <v>21</v>
      </c>
      <c r="B4" s="5" t="s">
        <v>34</v>
      </c>
      <c r="C4" s="5" t="s">
        <v>23</v>
      </c>
      <c r="D4" s="5" t="s">
        <v>35</v>
      </c>
      <c r="E4" s="5"/>
      <c r="F4" s="5" t="s">
        <v>36</v>
      </c>
      <c r="G4" s="5" t="s">
        <v>37</v>
      </c>
    </row>
    <row r="5">
      <c r="A5" s="5" t="s">
        <v>21</v>
      </c>
      <c r="B5" s="5" t="s">
        <v>38</v>
      </c>
      <c r="C5" s="5" t="s">
        <v>23</v>
      </c>
      <c r="D5" s="5" t="s">
        <v>40</v>
      </c>
      <c r="E5" s="5"/>
      <c r="F5" s="5" t="s">
        <v>41</v>
      </c>
      <c r="G5" s="5" t="s">
        <v>42</v>
      </c>
    </row>
    <row r="6">
      <c r="A6" s="5" t="s">
        <v>21</v>
      </c>
      <c r="B6" s="5" t="s">
        <v>43</v>
      </c>
      <c r="C6" s="5" t="s">
        <v>23</v>
      </c>
      <c r="D6" s="5" t="s">
        <v>44</v>
      </c>
      <c r="E6" s="5" t="s">
        <v>45</v>
      </c>
      <c r="F6" s="5" t="s">
        <v>46</v>
      </c>
      <c r="G6" s="5" t="s">
        <v>47</v>
      </c>
    </row>
    <row r="7">
      <c r="A7" s="5" t="s">
        <v>21</v>
      </c>
      <c r="B7" s="5" t="s">
        <v>48</v>
      </c>
      <c r="C7" s="5" t="s">
        <v>23</v>
      </c>
      <c r="D7" s="5" t="s">
        <v>50</v>
      </c>
      <c r="E7" s="5" t="s">
        <v>51</v>
      </c>
      <c r="F7" s="5" t="s">
        <v>52</v>
      </c>
      <c r="G7" s="5" t="s">
        <v>53</v>
      </c>
    </row>
    <row r="8">
      <c r="A8" s="5" t="s">
        <v>21</v>
      </c>
      <c r="B8" s="5" t="s">
        <v>54</v>
      </c>
      <c r="C8" s="5" t="s">
        <v>55</v>
      </c>
      <c r="D8" s="5" t="s">
        <v>56</v>
      </c>
      <c r="E8" s="5"/>
      <c r="F8" s="5" t="s">
        <v>57</v>
      </c>
      <c r="G8" s="5" t="s">
        <v>59</v>
      </c>
    </row>
    <row r="9">
      <c r="A9" s="5" t="s">
        <v>21</v>
      </c>
      <c r="B9" s="5" t="s">
        <v>61</v>
      </c>
      <c r="C9" s="5" t="s">
        <v>23</v>
      </c>
      <c r="D9" s="5" t="s">
        <v>62</v>
      </c>
      <c r="E9" s="5" t="s">
        <v>63</v>
      </c>
      <c r="F9" s="5" t="s">
        <v>64</v>
      </c>
      <c r="G9" s="5" t="s">
        <v>65</v>
      </c>
    </row>
    <row r="10">
      <c r="A10" s="5" t="s">
        <v>66</v>
      </c>
      <c r="B10" s="5" t="s">
        <v>67</v>
      </c>
      <c r="C10" s="5" t="s">
        <v>69</v>
      </c>
      <c r="F10" s="5" t="s">
        <v>70</v>
      </c>
    </row>
    <row r="11">
      <c r="A11" s="5" t="s">
        <v>71</v>
      </c>
      <c r="B11" s="5" t="s">
        <v>72</v>
      </c>
      <c r="C11" s="5" t="s">
        <v>69</v>
      </c>
      <c r="F11" s="5" t="s">
        <v>73</v>
      </c>
    </row>
    <row r="12">
      <c r="A12" s="5" t="s">
        <v>21</v>
      </c>
      <c r="B12" s="5" t="s">
        <v>74</v>
      </c>
      <c r="C12" s="5" t="s">
        <v>23</v>
      </c>
      <c r="D12" s="5" t="s">
        <v>62</v>
      </c>
      <c r="E12" s="5"/>
      <c r="F12" s="5" t="s">
        <v>76</v>
      </c>
      <c r="G12" s="5" t="s">
        <v>78</v>
      </c>
    </row>
    <row r="13">
      <c r="A13" s="5" t="s">
        <v>66</v>
      </c>
      <c r="B13" s="5" t="s">
        <v>79</v>
      </c>
      <c r="C13" s="5" t="s">
        <v>69</v>
      </c>
      <c r="F13" s="5" t="s">
        <v>81</v>
      </c>
    </row>
    <row r="14">
      <c r="A14" s="5" t="s">
        <v>66</v>
      </c>
      <c r="B14" s="5" t="s">
        <v>82</v>
      </c>
      <c r="C14" s="5" t="s">
        <v>69</v>
      </c>
      <c r="F14" s="5" t="s">
        <v>84</v>
      </c>
    </row>
    <row r="15">
      <c r="A15" s="5" t="s">
        <v>21</v>
      </c>
      <c r="B15" s="5" t="s">
        <v>85</v>
      </c>
      <c r="C15" s="5" t="s">
        <v>23</v>
      </c>
      <c r="D15" s="5" t="s">
        <v>86</v>
      </c>
      <c r="E15" s="5" t="s">
        <v>87</v>
      </c>
      <c r="F15" s="5" t="s">
        <v>88</v>
      </c>
      <c r="G15" s="5" t="s">
        <v>89</v>
      </c>
    </row>
    <row r="16">
      <c r="A16" s="5" t="s">
        <v>21</v>
      </c>
      <c r="B16" s="5" t="s">
        <v>90</v>
      </c>
      <c r="C16" s="5" t="s">
        <v>23</v>
      </c>
      <c r="D16" s="5" t="s">
        <v>91</v>
      </c>
      <c r="E16" s="5"/>
      <c r="F16" s="5" t="s">
        <v>95</v>
      </c>
      <c r="G16" s="5" t="s">
        <v>96</v>
      </c>
    </row>
    <row r="17">
      <c r="A17" s="5" t="s">
        <v>21</v>
      </c>
      <c r="B17" s="5" t="s">
        <v>98</v>
      </c>
      <c r="C17" s="5" t="s">
        <v>23</v>
      </c>
      <c r="D17" s="5" t="s">
        <v>91</v>
      </c>
      <c r="E17" s="5"/>
      <c r="F17" s="5" t="s">
        <v>99</v>
      </c>
      <c r="G17" s="5" t="s">
        <v>100</v>
      </c>
    </row>
    <row r="18">
      <c r="A18" s="5" t="s">
        <v>21</v>
      </c>
      <c r="B18" s="5" t="s">
        <v>101</v>
      </c>
      <c r="C18" s="5" t="s">
        <v>23</v>
      </c>
      <c r="D18" s="5" t="s">
        <v>102</v>
      </c>
      <c r="E18" s="5" t="s">
        <v>104</v>
      </c>
      <c r="F18" s="5" t="s">
        <v>105</v>
      </c>
      <c r="G18" s="5" t="s">
        <v>106</v>
      </c>
    </row>
    <row r="19">
      <c r="A19" s="5" t="s">
        <v>21</v>
      </c>
      <c r="B19" s="5" t="s">
        <v>107</v>
      </c>
      <c r="C19" s="5" t="s">
        <v>23</v>
      </c>
      <c r="D19" s="5" t="s">
        <v>25</v>
      </c>
      <c r="E19" s="5" t="s">
        <v>108</v>
      </c>
      <c r="F19" s="5" t="s">
        <v>109</v>
      </c>
      <c r="G19" s="5" t="s">
        <v>110</v>
      </c>
    </row>
    <row r="20">
      <c r="A20" s="5" t="s">
        <v>21</v>
      </c>
      <c r="B20" s="5" t="s">
        <v>111</v>
      </c>
      <c r="C20" s="5" t="s">
        <v>23</v>
      </c>
      <c r="D20" s="5" t="s">
        <v>112</v>
      </c>
      <c r="E20" s="5" t="s">
        <v>113</v>
      </c>
      <c r="F20" s="5" t="s">
        <v>115</v>
      </c>
      <c r="G20" s="5" t="s">
        <v>117</v>
      </c>
    </row>
    <row r="21">
      <c r="A21" s="5" t="s">
        <v>21</v>
      </c>
      <c r="B21" s="5" t="s">
        <v>119</v>
      </c>
      <c r="C21" s="5" t="s">
        <v>23</v>
      </c>
      <c r="D21" s="5" t="s">
        <v>91</v>
      </c>
      <c r="E21" s="5" t="s">
        <v>121</v>
      </c>
      <c r="F21" s="5" t="s">
        <v>122</v>
      </c>
      <c r="G21" s="5" t="s">
        <v>123</v>
      </c>
    </row>
    <row r="22">
      <c r="A22" s="5" t="s">
        <v>21</v>
      </c>
      <c r="B22" s="5" t="s">
        <v>124</v>
      </c>
      <c r="C22" s="5" t="s">
        <v>23</v>
      </c>
      <c r="D22" s="5" t="s">
        <v>125</v>
      </c>
      <c r="E22" s="5"/>
      <c r="F22" s="5" t="s">
        <v>126</v>
      </c>
      <c r="G22" s="5" t="s">
        <v>127</v>
      </c>
    </row>
    <row r="23">
      <c r="A23" s="5" t="s">
        <v>21</v>
      </c>
      <c r="B23" s="5" t="s">
        <v>128</v>
      </c>
      <c r="C23" s="5" t="s">
        <v>23</v>
      </c>
      <c r="D23" s="5" t="s">
        <v>50</v>
      </c>
      <c r="E23" s="5"/>
      <c r="F23" s="5" t="s">
        <v>130</v>
      </c>
      <c r="G23" s="5" t="s">
        <v>132</v>
      </c>
    </row>
    <row r="24">
      <c r="A24" s="5" t="s">
        <v>21</v>
      </c>
      <c r="B24" s="5" t="s">
        <v>133</v>
      </c>
      <c r="C24" s="5" t="s">
        <v>23</v>
      </c>
      <c r="D24" s="5" t="s">
        <v>134</v>
      </c>
      <c r="E24" s="5"/>
      <c r="F24" s="5" t="s">
        <v>135</v>
      </c>
      <c r="G24" s="5" t="s">
        <v>136</v>
      </c>
    </row>
    <row r="25">
      <c r="A25" s="5" t="s">
        <v>21</v>
      </c>
      <c r="B25" s="5" t="s">
        <v>137</v>
      </c>
      <c r="C25" s="5" t="s">
        <v>23</v>
      </c>
      <c r="E25" s="5"/>
      <c r="F25" s="5" t="s">
        <v>138</v>
      </c>
      <c r="G25" s="5" t="s">
        <v>139</v>
      </c>
    </row>
    <row r="26">
      <c r="A26" s="5" t="s">
        <v>66</v>
      </c>
      <c r="B26" s="5" t="s">
        <v>140</v>
      </c>
      <c r="C26" s="5" t="s">
        <v>69</v>
      </c>
      <c r="F26" s="5" t="s">
        <v>142</v>
      </c>
    </row>
    <row r="27">
      <c r="A27" s="5" t="s">
        <v>21</v>
      </c>
      <c r="B27" s="5" t="s">
        <v>143</v>
      </c>
      <c r="C27" s="5" t="s">
        <v>23</v>
      </c>
      <c r="D27" s="5" t="s">
        <v>144</v>
      </c>
      <c r="E27" s="5"/>
      <c r="F27" s="5" t="s">
        <v>145</v>
      </c>
      <c r="G27" s="5" t="s">
        <v>146</v>
      </c>
    </row>
    <row r="28">
      <c r="A28" s="5" t="s">
        <v>66</v>
      </c>
      <c r="B28" s="5" t="s">
        <v>147</v>
      </c>
      <c r="C28" s="5" t="s">
        <v>69</v>
      </c>
      <c r="F28" s="5" t="s">
        <v>148</v>
      </c>
    </row>
    <row r="29">
      <c r="A29" s="5" t="s">
        <v>21</v>
      </c>
      <c r="B29" s="5" t="s">
        <v>149</v>
      </c>
      <c r="C29" s="5" t="s">
        <v>23</v>
      </c>
      <c r="D29" s="5" t="s">
        <v>150</v>
      </c>
      <c r="E29" s="5"/>
      <c r="F29" s="5" t="s">
        <v>151</v>
      </c>
    </row>
    <row r="30">
      <c r="A30" s="5" t="s">
        <v>21</v>
      </c>
      <c r="B30" s="5" t="s">
        <v>152</v>
      </c>
      <c r="C30" s="5" t="s">
        <v>23</v>
      </c>
      <c r="D30" s="5" t="s">
        <v>150</v>
      </c>
      <c r="E30" s="5"/>
      <c r="F30" s="5" t="s">
        <v>153</v>
      </c>
    </row>
    <row r="31">
      <c r="A31" s="5" t="s">
        <v>154</v>
      </c>
      <c r="B31" s="5" t="s">
        <v>155</v>
      </c>
      <c r="C31" s="5" t="s">
        <v>69</v>
      </c>
      <c r="F31" s="5" t="s">
        <v>156</v>
      </c>
    </row>
    <row r="32">
      <c r="A32" s="5" t="s">
        <v>21</v>
      </c>
      <c r="B32" s="5" t="s">
        <v>158</v>
      </c>
      <c r="C32" s="5" t="s">
        <v>23</v>
      </c>
      <c r="D32" s="5" t="s">
        <v>25</v>
      </c>
      <c r="E32" s="5" t="s">
        <v>160</v>
      </c>
      <c r="G32" s="5" t="s">
        <v>161</v>
      </c>
    </row>
    <row r="33">
      <c r="A33" s="5" t="s">
        <v>21</v>
      </c>
      <c r="B33" s="5" t="s">
        <v>162</v>
      </c>
      <c r="C33" s="5" t="s">
        <v>55</v>
      </c>
      <c r="D33" s="5" t="s">
        <v>134</v>
      </c>
      <c r="E33" s="5"/>
      <c r="F33" s="5" t="s">
        <v>163</v>
      </c>
      <c r="G33" s="5" t="s">
        <v>164</v>
      </c>
    </row>
    <row r="34">
      <c r="A34" s="5" t="s">
        <v>21</v>
      </c>
      <c r="B34" s="5" t="s">
        <v>165</v>
      </c>
      <c r="C34" s="5" t="s">
        <v>23</v>
      </c>
      <c r="D34" s="5" t="s">
        <v>166</v>
      </c>
      <c r="E34" s="5" t="s">
        <v>167</v>
      </c>
      <c r="F34" s="5" t="s">
        <v>168</v>
      </c>
      <c r="G34" s="5" t="s">
        <v>169</v>
      </c>
    </row>
    <row r="35">
      <c r="A35" s="5" t="s">
        <v>170</v>
      </c>
      <c r="B35" s="5" t="s">
        <v>171</v>
      </c>
      <c r="C35" s="5" t="s">
        <v>172</v>
      </c>
      <c r="E35" s="5"/>
      <c r="F35" s="5" t="s">
        <v>173</v>
      </c>
      <c r="G35" s="5" t="s">
        <v>174</v>
      </c>
    </row>
    <row r="36">
      <c r="A36" s="5" t="s">
        <v>66</v>
      </c>
      <c r="B36" s="5" t="s">
        <v>176</v>
      </c>
      <c r="C36" s="5" t="s">
        <v>69</v>
      </c>
      <c r="F36" s="5" t="s">
        <v>177</v>
      </c>
    </row>
    <row r="37">
      <c r="A37" s="5" t="s">
        <v>21</v>
      </c>
      <c r="B37" s="5" t="s">
        <v>178</v>
      </c>
      <c r="C37" s="5" t="s">
        <v>23</v>
      </c>
      <c r="D37" s="5" t="s">
        <v>91</v>
      </c>
      <c r="E37" s="5" t="s">
        <v>179</v>
      </c>
      <c r="F37" s="5" t="s">
        <v>180</v>
      </c>
      <c r="G37" s="5" t="s">
        <v>181</v>
      </c>
    </row>
    <row r="38">
      <c r="A38" s="5" t="s">
        <v>21</v>
      </c>
      <c r="B38" s="5" t="s">
        <v>182</v>
      </c>
      <c r="C38" s="5" t="s">
        <v>23</v>
      </c>
      <c r="D38" s="5" t="s">
        <v>91</v>
      </c>
      <c r="E38" s="5" t="s">
        <v>183</v>
      </c>
      <c r="F38" s="5" t="s">
        <v>184</v>
      </c>
      <c r="G38" s="5" t="s">
        <v>185</v>
      </c>
    </row>
    <row r="39">
      <c r="A39" s="5" t="s">
        <v>21</v>
      </c>
      <c r="B39" s="5" t="s">
        <v>186</v>
      </c>
      <c r="C39" s="5" t="s">
        <v>23</v>
      </c>
      <c r="D39" s="5" t="s">
        <v>50</v>
      </c>
      <c r="E39" s="5" t="s">
        <v>187</v>
      </c>
      <c r="F39" s="5" t="s">
        <v>188</v>
      </c>
      <c r="G39" s="5" t="s">
        <v>190</v>
      </c>
    </row>
    <row r="40">
      <c r="A40" s="5" t="s">
        <v>21</v>
      </c>
      <c r="B40" s="5" t="s">
        <v>191</v>
      </c>
      <c r="C40" s="5" t="s">
        <v>23</v>
      </c>
      <c r="D40" s="5" t="s">
        <v>192</v>
      </c>
      <c r="E40" s="5"/>
      <c r="F40" s="5" t="s">
        <v>193</v>
      </c>
      <c r="G40" s="5" t="s">
        <v>194</v>
      </c>
    </row>
    <row r="41">
      <c r="A41" s="5" t="s">
        <v>154</v>
      </c>
      <c r="B41" s="5" t="s">
        <v>195</v>
      </c>
      <c r="C41" s="5" t="s">
        <v>196</v>
      </c>
    </row>
    <row r="42">
      <c r="A42" s="5" t="s">
        <v>66</v>
      </c>
      <c r="B42" s="5" t="s">
        <v>197</v>
      </c>
      <c r="C42" s="5" t="s">
        <v>69</v>
      </c>
      <c r="F42" s="5" t="s">
        <v>198</v>
      </c>
    </row>
    <row r="43">
      <c r="A43" s="5" t="s">
        <v>21</v>
      </c>
      <c r="B43" s="5" t="s">
        <v>199</v>
      </c>
      <c r="C43" s="5" t="s">
        <v>23</v>
      </c>
      <c r="D43" s="5" t="s">
        <v>200</v>
      </c>
      <c r="E43" s="5"/>
      <c r="F43" s="5" t="s">
        <v>201</v>
      </c>
      <c r="G43" s="5" t="s">
        <v>202</v>
      </c>
    </row>
    <row r="44">
      <c r="A44" s="5" t="s">
        <v>21</v>
      </c>
      <c r="B44" s="5" t="s">
        <v>203</v>
      </c>
      <c r="C44" s="5" t="s">
        <v>23</v>
      </c>
      <c r="D44" s="5" t="s">
        <v>204</v>
      </c>
      <c r="E44" s="5" t="s">
        <v>206</v>
      </c>
      <c r="F44" s="5" t="s">
        <v>207</v>
      </c>
      <c r="G44" s="5" t="s">
        <v>208</v>
      </c>
    </row>
    <row r="45">
      <c r="A45" s="5" t="s">
        <v>209</v>
      </c>
      <c r="B45" s="5" t="s">
        <v>210</v>
      </c>
      <c r="C45" s="5" t="s">
        <v>211</v>
      </c>
      <c r="E45" s="5"/>
      <c r="F45" s="5" t="s">
        <v>212</v>
      </c>
      <c r="G45" s="5" t="s">
        <v>213</v>
      </c>
    </row>
    <row r="46">
      <c r="A46" s="5" t="s">
        <v>21</v>
      </c>
      <c r="B46" s="5" t="s">
        <v>214</v>
      </c>
      <c r="C46" s="5" t="s">
        <v>23</v>
      </c>
      <c r="D46" s="5" t="s">
        <v>215</v>
      </c>
      <c r="E46" s="5"/>
      <c r="F46" s="5" t="s">
        <v>216</v>
      </c>
      <c r="G46" s="5" t="s">
        <v>217</v>
      </c>
    </row>
    <row r="47">
      <c r="A47" s="5" t="s">
        <v>21</v>
      </c>
      <c r="B47" s="5" t="s">
        <v>218</v>
      </c>
      <c r="C47" s="5" t="s">
        <v>23</v>
      </c>
      <c r="D47" s="5" t="s">
        <v>86</v>
      </c>
      <c r="E47" s="5" t="s">
        <v>219</v>
      </c>
      <c r="F47" s="5" t="s">
        <v>220</v>
      </c>
      <c r="G47" s="5" t="s">
        <v>221</v>
      </c>
    </row>
    <row r="48">
      <c r="A48" s="5" t="s">
        <v>222</v>
      </c>
      <c r="B48" s="5" t="s">
        <v>223</v>
      </c>
      <c r="C48" s="5" t="s">
        <v>225</v>
      </c>
      <c r="E48" s="5"/>
      <c r="F48" s="5" t="s">
        <v>226</v>
      </c>
      <c r="G48" s="5" t="s">
        <v>228</v>
      </c>
    </row>
    <row r="49">
      <c r="A49" s="5" t="s">
        <v>21</v>
      </c>
      <c r="B49" s="5" t="s">
        <v>229</v>
      </c>
      <c r="C49" s="5" t="s">
        <v>23</v>
      </c>
      <c r="D49" s="5" t="s">
        <v>230</v>
      </c>
      <c r="E49" s="5" t="s">
        <v>231</v>
      </c>
      <c r="F49" s="5" t="s">
        <v>232</v>
      </c>
      <c r="G49" s="5" t="s">
        <v>233</v>
      </c>
    </row>
    <row r="50">
      <c r="A50" s="5" t="s">
        <v>21</v>
      </c>
      <c r="B50" s="5" t="s">
        <v>234</v>
      </c>
      <c r="C50" s="5" t="s">
        <v>23</v>
      </c>
      <c r="D50" s="5" t="s">
        <v>235</v>
      </c>
      <c r="E50" s="5" t="s">
        <v>236</v>
      </c>
      <c r="F50" s="5" t="s">
        <v>237</v>
      </c>
      <c r="G50" s="5" t="s">
        <v>238</v>
      </c>
    </row>
    <row r="51">
      <c r="A51" s="5" t="s">
        <v>66</v>
      </c>
      <c r="B51" s="5" t="s">
        <v>239</v>
      </c>
      <c r="C51" s="5" t="s">
        <v>69</v>
      </c>
      <c r="F51" s="5" t="s">
        <v>240</v>
      </c>
    </row>
    <row r="52">
      <c r="A52" s="5" t="s">
        <v>209</v>
      </c>
      <c r="B52" s="5" t="s">
        <v>241</v>
      </c>
      <c r="D52" s="5" t="s">
        <v>242</v>
      </c>
      <c r="F52" s="5" t="s">
        <v>243</v>
      </c>
      <c r="G52" s="5" t="s">
        <v>244</v>
      </c>
    </row>
    <row r="53">
      <c r="A53" s="5" t="s">
        <v>21</v>
      </c>
      <c r="B53" s="5" t="s">
        <v>246</v>
      </c>
      <c r="C53" s="5" t="s">
        <v>23</v>
      </c>
      <c r="D53" s="5" t="s">
        <v>91</v>
      </c>
      <c r="E53" s="5"/>
      <c r="F53" s="5" t="s">
        <v>249</v>
      </c>
      <c r="G53" s="5" t="s">
        <v>250</v>
      </c>
    </row>
    <row r="54">
      <c r="A54" s="5" t="s">
        <v>21</v>
      </c>
      <c r="B54" s="5" t="s">
        <v>251</v>
      </c>
      <c r="C54" s="5" t="s">
        <v>23</v>
      </c>
      <c r="D54" s="5" t="s">
        <v>204</v>
      </c>
      <c r="E54" s="5" t="s">
        <v>252</v>
      </c>
      <c r="F54" s="5" t="s">
        <v>253</v>
      </c>
      <c r="G54" s="5" t="s">
        <v>254</v>
      </c>
    </row>
    <row r="55">
      <c r="A55" s="5" t="s">
        <v>21</v>
      </c>
      <c r="B55" s="5" t="s">
        <v>255</v>
      </c>
      <c r="C55" s="5" t="s">
        <v>23</v>
      </c>
      <c r="D55" s="5" t="s">
        <v>256</v>
      </c>
      <c r="E55" s="5"/>
      <c r="F55" s="5" t="s">
        <v>257</v>
      </c>
      <c r="G55" s="5" t="s">
        <v>258</v>
      </c>
    </row>
    <row r="56">
      <c r="A56" s="5" t="s">
        <v>21</v>
      </c>
      <c r="B56" s="5" t="s">
        <v>259</v>
      </c>
      <c r="C56" s="5" t="s">
        <v>23</v>
      </c>
      <c r="D56" s="5" t="s">
        <v>125</v>
      </c>
      <c r="E56" s="5"/>
      <c r="F56" s="5" t="s">
        <v>260</v>
      </c>
      <c r="G56" s="5" t="s">
        <v>261</v>
      </c>
    </row>
    <row r="57">
      <c r="A57" s="5" t="s">
        <v>21</v>
      </c>
      <c r="B57" s="5" t="s">
        <v>263</v>
      </c>
      <c r="C57" s="5" t="s">
        <v>23</v>
      </c>
      <c r="D57" s="5" t="s">
        <v>91</v>
      </c>
      <c r="E57" s="5" t="s">
        <v>266</v>
      </c>
      <c r="F57" s="5" t="s">
        <v>267</v>
      </c>
      <c r="G57" s="5" t="s">
        <v>268</v>
      </c>
    </row>
    <row r="58">
      <c r="A58" s="5" t="s">
        <v>21</v>
      </c>
      <c r="B58" s="5" t="s">
        <v>269</v>
      </c>
      <c r="C58" s="5" t="s">
        <v>55</v>
      </c>
      <c r="D58" s="5" t="s">
        <v>56</v>
      </c>
      <c r="E58" s="5"/>
      <c r="F58" s="5" t="s">
        <v>270</v>
      </c>
      <c r="G58" s="5" t="s">
        <v>271</v>
      </c>
    </row>
    <row r="59">
      <c r="A59" s="5" t="s">
        <v>21</v>
      </c>
      <c r="B59" s="5" t="s">
        <v>272</v>
      </c>
      <c r="C59" s="5" t="s">
        <v>23</v>
      </c>
      <c r="D59" s="5" t="s">
        <v>256</v>
      </c>
      <c r="E59" s="5"/>
      <c r="F59" s="5" t="s">
        <v>273</v>
      </c>
      <c r="G59" s="5" t="s">
        <v>274</v>
      </c>
    </row>
    <row r="60">
      <c r="A60" s="5" t="s">
        <v>21</v>
      </c>
      <c r="B60" s="5" t="s">
        <v>275</v>
      </c>
      <c r="C60" s="5" t="s">
        <v>23</v>
      </c>
      <c r="D60" s="5" t="s">
        <v>215</v>
      </c>
      <c r="E60" s="5" t="s">
        <v>276</v>
      </c>
      <c r="F60" s="5" t="s">
        <v>277</v>
      </c>
      <c r="G60" s="5" t="s">
        <v>278</v>
      </c>
    </row>
    <row r="61">
      <c r="A61" s="5" t="s">
        <v>21</v>
      </c>
      <c r="B61" s="5" t="s">
        <v>279</v>
      </c>
      <c r="C61" s="5" t="s">
        <v>23</v>
      </c>
      <c r="D61" s="5" t="s">
        <v>91</v>
      </c>
      <c r="E61" s="5" t="s">
        <v>283</v>
      </c>
      <c r="F61" s="5" t="s">
        <v>284</v>
      </c>
      <c r="G61" s="5" t="s">
        <v>285</v>
      </c>
    </row>
    <row r="62">
      <c r="A62" s="5" t="s">
        <v>21</v>
      </c>
      <c r="B62" s="5" t="s">
        <v>286</v>
      </c>
      <c r="C62" s="5" t="s">
        <v>23</v>
      </c>
      <c r="D62" s="5" t="s">
        <v>91</v>
      </c>
      <c r="E62" s="5" t="s">
        <v>287</v>
      </c>
      <c r="F62" s="5" t="s">
        <v>288</v>
      </c>
      <c r="G62" s="5" t="s">
        <v>289</v>
      </c>
    </row>
    <row r="63">
      <c r="A63" s="5" t="s">
        <v>21</v>
      </c>
      <c r="B63" s="5" t="s">
        <v>290</v>
      </c>
      <c r="C63" s="5" t="s">
        <v>55</v>
      </c>
      <c r="D63" s="5" t="s">
        <v>291</v>
      </c>
      <c r="E63" s="5" t="s">
        <v>292</v>
      </c>
      <c r="F63" s="5" t="s">
        <v>293</v>
      </c>
      <c r="G63" s="5" t="s">
        <v>294</v>
      </c>
    </row>
    <row r="64">
      <c r="A64" s="5" t="s">
        <v>21</v>
      </c>
      <c r="B64" s="5" t="s">
        <v>295</v>
      </c>
      <c r="C64" s="5" t="s">
        <v>23</v>
      </c>
      <c r="D64" s="5" t="s">
        <v>296</v>
      </c>
      <c r="E64" s="5" t="s">
        <v>297</v>
      </c>
      <c r="F64" s="5" t="s">
        <v>298</v>
      </c>
      <c r="G64" s="5" t="s">
        <v>299</v>
      </c>
    </row>
    <row r="65">
      <c r="A65" s="5" t="s">
        <v>21</v>
      </c>
      <c r="B65" s="5" t="s">
        <v>301</v>
      </c>
      <c r="C65" s="5" t="s">
        <v>23</v>
      </c>
      <c r="D65" s="5" t="s">
        <v>150</v>
      </c>
      <c r="E65" s="5" t="s">
        <v>304</v>
      </c>
      <c r="F65" s="5" t="s">
        <v>305</v>
      </c>
      <c r="G65" s="5" t="s">
        <v>306</v>
      </c>
    </row>
    <row r="66">
      <c r="A66" s="5" t="s">
        <v>21</v>
      </c>
      <c r="B66" s="5" t="s">
        <v>307</v>
      </c>
      <c r="C66" s="5" t="s">
        <v>23</v>
      </c>
      <c r="D66" s="5" t="s">
        <v>44</v>
      </c>
      <c r="E66" s="5" t="s">
        <v>308</v>
      </c>
      <c r="F66" s="5" t="s">
        <v>309</v>
      </c>
      <c r="G66" s="5" t="s">
        <v>310</v>
      </c>
    </row>
    <row r="67">
      <c r="A67" s="5" t="s">
        <v>21</v>
      </c>
      <c r="B67" s="5" t="s">
        <v>311</v>
      </c>
      <c r="C67" s="5" t="s">
        <v>23</v>
      </c>
      <c r="D67" s="5" t="s">
        <v>150</v>
      </c>
      <c r="E67" s="5"/>
      <c r="F67" s="5" t="s">
        <v>312</v>
      </c>
      <c r="G67" s="5" t="s">
        <v>313</v>
      </c>
    </row>
    <row r="68">
      <c r="A68" s="5" t="s">
        <v>21</v>
      </c>
      <c r="B68" s="5" t="s">
        <v>314</v>
      </c>
      <c r="C68" s="5" t="s">
        <v>23</v>
      </c>
      <c r="D68" s="5" t="s">
        <v>296</v>
      </c>
      <c r="E68" s="5" t="s">
        <v>315</v>
      </c>
      <c r="F68" s="5" t="s">
        <v>316</v>
      </c>
      <c r="G68" s="5" t="s">
        <v>317</v>
      </c>
    </row>
    <row r="69">
      <c r="A69" s="5" t="s">
        <v>66</v>
      </c>
      <c r="B69" s="5" t="s">
        <v>319</v>
      </c>
      <c r="C69" s="5" t="s">
        <v>69</v>
      </c>
    </row>
    <row r="70">
      <c r="A70" s="5" t="s">
        <v>321</v>
      </c>
      <c r="B70" s="5" t="s">
        <v>323</v>
      </c>
      <c r="C70" s="5" t="s">
        <v>69</v>
      </c>
    </row>
    <row r="71">
      <c r="A71" s="5" t="s">
        <v>321</v>
      </c>
      <c r="B71" s="5" t="s">
        <v>324</v>
      </c>
      <c r="C71" s="5" t="s">
        <v>69</v>
      </c>
    </row>
    <row r="72">
      <c r="A72" s="5" t="s">
        <v>66</v>
      </c>
      <c r="B72" s="5" t="s">
        <v>325</v>
      </c>
      <c r="C72" s="5" t="s">
        <v>69</v>
      </c>
    </row>
    <row r="73">
      <c r="A73" s="5" t="s">
        <v>66</v>
      </c>
      <c r="B73" s="5" t="s">
        <v>326</v>
      </c>
      <c r="C73" s="5" t="s">
        <v>69</v>
      </c>
    </row>
    <row r="74">
      <c r="A74" s="5" t="s">
        <v>66</v>
      </c>
      <c r="B74" s="5" t="s">
        <v>327</v>
      </c>
      <c r="C74" s="5" t="s">
        <v>69</v>
      </c>
    </row>
    <row r="75">
      <c r="A75" s="5" t="s">
        <v>66</v>
      </c>
      <c r="B75" s="5" t="s">
        <v>328</v>
      </c>
      <c r="C75" s="5" t="s">
        <v>69</v>
      </c>
    </row>
    <row r="76">
      <c r="A76" s="5" t="s">
        <v>71</v>
      </c>
      <c r="B76" s="5" t="s">
        <v>330</v>
      </c>
      <c r="C76" s="5" t="s">
        <v>69</v>
      </c>
    </row>
    <row r="77">
      <c r="A77" s="5" t="s">
        <v>21</v>
      </c>
      <c r="B77" s="5" t="s">
        <v>331</v>
      </c>
      <c r="C77" s="5" t="s">
        <v>23</v>
      </c>
      <c r="D77" s="5" t="s">
        <v>204</v>
      </c>
      <c r="E77" s="5"/>
      <c r="F77" s="5" t="s">
        <v>332</v>
      </c>
      <c r="G77" s="5" t="s">
        <v>333</v>
      </c>
    </row>
    <row r="78">
      <c r="A78" s="5" t="s">
        <v>21</v>
      </c>
      <c r="B78" s="5" t="s">
        <v>334</v>
      </c>
      <c r="C78" s="5" t="s">
        <v>23</v>
      </c>
      <c r="D78" s="5" t="s">
        <v>335</v>
      </c>
      <c r="E78" s="5" t="s">
        <v>336</v>
      </c>
      <c r="G78" s="5" t="s">
        <v>337</v>
      </c>
    </row>
    <row r="79">
      <c r="A79" s="5" t="s">
        <v>21</v>
      </c>
      <c r="B79" s="5" t="s">
        <v>338</v>
      </c>
      <c r="C79" s="5" t="s">
        <v>23</v>
      </c>
      <c r="D79" s="5" t="s">
        <v>25</v>
      </c>
      <c r="E79" s="5"/>
      <c r="F79" s="5" t="s">
        <v>339</v>
      </c>
      <c r="G79" s="5" t="s">
        <v>340</v>
      </c>
    </row>
    <row r="80">
      <c r="A80" s="5" t="s">
        <v>21</v>
      </c>
      <c r="B80" s="5" t="s">
        <v>342</v>
      </c>
      <c r="C80" s="5" t="s">
        <v>23</v>
      </c>
      <c r="D80" s="5" t="s">
        <v>25</v>
      </c>
      <c r="E80" s="5"/>
      <c r="F80" s="5" t="s">
        <v>344</v>
      </c>
      <c r="G80" s="5" t="s">
        <v>345</v>
      </c>
    </row>
    <row r="81">
      <c r="A81" s="5" t="s">
        <v>21</v>
      </c>
      <c r="B81" s="5" t="s">
        <v>346</v>
      </c>
      <c r="C81" s="5" t="s">
        <v>23</v>
      </c>
      <c r="D81" s="5" t="s">
        <v>25</v>
      </c>
      <c r="E81" s="5" t="s">
        <v>347</v>
      </c>
      <c r="G81" s="5" t="s">
        <v>348</v>
      </c>
    </row>
    <row r="82">
      <c r="A82" s="5" t="s">
        <v>21</v>
      </c>
      <c r="B82" s="5" t="s">
        <v>349</v>
      </c>
      <c r="C82" s="5" t="s">
        <v>23</v>
      </c>
      <c r="D82" s="5" t="s">
        <v>62</v>
      </c>
      <c r="E82" s="5" t="s">
        <v>350</v>
      </c>
      <c r="G82" s="5" t="s">
        <v>351</v>
      </c>
    </row>
    <row r="83">
      <c r="A83" s="5" t="s">
        <v>21</v>
      </c>
      <c r="B83" s="5" t="s">
        <v>352</v>
      </c>
      <c r="C83" s="5" t="s">
        <v>23</v>
      </c>
      <c r="D83" s="5" t="s">
        <v>166</v>
      </c>
      <c r="E83" s="5" t="s">
        <v>353</v>
      </c>
      <c r="G83" s="5" t="s">
        <v>354</v>
      </c>
    </row>
    <row r="84">
      <c r="A84" s="5" t="s">
        <v>21</v>
      </c>
      <c r="B84" s="5" t="s">
        <v>355</v>
      </c>
      <c r="C84" s="5" t="s">
        <v>23</v>
      </c>
      <c r="D84" s="5" t="s">
        <v>91</v>
      </c>
      <c r="E84" s="5" t="s">
        <v>357</v>
      </c>
      <c r="G84" s="5" t="s">
        <v>359</v>
      </c>
    </row>
    <row r="85">
      <c r="A85" s="5" t="s">
        <v>66</v>
      </c>
      <c r="B85" s="5" t="s">
        <v>361</v>
      </c>
      <c r="C85" s="5" t="s">
        <v>69</v>
      </c>
    </row>
    <row r="86">
      <c r="A86" s="5" t="s">
        <v>21</v>
      </c>
      <c r="B86" s="5" t="s">
        <v>362</v>
      </c>
      <c r="C86" s="5" t="s">
        <v>23</v>
      </c>
      <c r="D86" s="5" t="s">
        <v>86</v>
      </c>
      <c r="E86" s="5" t="s">
        <v>363</v>
      </c>
      <c r="G86" s="5" t="s">
        <v>364</v>
      </c>
    </row>
    <row r="87">
      <c r="A87" s="5" t="s">
        <v>21</v>
      </c>
      <c r="B87" s="5" t="s">
        <v>365</v>
      </c>
      <c r="C87" s="5" t="s">
        <v>23</v>
      </c>
      <c r="D87" s="5" t="s">
        <v>150</v>
      </c>
      <c r="E87" s="5"/>
      <c r="F87" s="5" t="s">
        <v>366</v>
      </c>
      <c r="G87" s="5" t="s">
        <v>367</v>
      </c>
    </row>
    <row r="88">
      <c r="A88" s="5" t="s">
        <v>21</v>
      </c>
      <c r="B88" s="5" t="s">
        <v>368</v>
      </c>
      <c r="C88" s="5" t="s">
        <v>23</v>
      </c>
      <c r="D88" s="5" t="s">
        <v>204</v>
      </c>
      <c r="E88" s="5"/>
      <c r="F88" s="5" t="s">
        <v>369</v>
      </c>
      <c r="G88" s="5" t="s">
        <v>370</v>
      </c>
    </row>
    <row r="89">
      <c r="A89" s="5" t="s">
        <v>21</v>
      </c>
      <c r="B89" s="5" t="s">
        <v>372</v>
      </c>
      <c r="C89" s="5" t="s">
        <v>23</v>
      </c>
      <c r="D89" s="5" t="s">
        <v>25</v>
      </c>
      <c r="E89" s="5" t="s">
        <v>374</v>
      </c>
      <c r="G89" s="5" t="s">
        <v>376</v>
      </c>
    </row>
    <row r="90">
      <c r="A90" s="5" t="s">
        <v>21</v>
      </c>
      <c r="B90" s="5" t="s">
        <v>377</v>
      </c>
      <c r="C90" s="5" t="s">
        <v>23</v>
      </c>
      <c r="D90" s="5" t="s">
        <v>200</v>
      </c>
      <c r="E90" s="5" t="s">
        <v>378</v>
      </c>
      <c r="G90" s="5" t="s">
        <v>379</v>
      </c>
    </row>
    <row r="91">
      <c r="A91" s="5" t="s">
        <v>21</v>
      </c>
      <c r="B91" s="5" t="s">
        <v>380</v>
      </c>
      <c r="C91" s="5" t="s">
        <v>23</v>
      </c>
      <c r="D91" s="5" t="s">
        <v>381</v>
      </c>
      <c r="E91" s="5" t="s">
        <v>382</v>
      </c>
      <c r="G91" s="5" t="s">
        <v>383</v>
      </c>
    </row>
    <row r="92">
      <c r="A92" s="5" t="s">
        <v>21</v>
      </c>
      <c r="B92" s="5" t="s">
        <v>384</v>
      </c>
      <c r="C92" s="5" t="s">
        <v>23</v>
      </c>
      <c r="D92" s="5" t="s">
        <v>44</v>
      </c>
      <c r="E92" s="5"/>
      <c r="F92" s="5" t="s">
        <v>387</v>
      </c>
      <c r="G92" s="5" t="s">
        <v>389</v>
      </c>
    </row>
    <row r="93">
      <c r="A93" s="5" t="s">
        <v>21</v>
      </c>
      <c r="B93" s="5" t="s">
        <v>390</v>
      </c>
      <c r="C93" s="5" t="s">
        <v>23</v>
      </c>
      <c r="D93" s="5" t="s">
        <v>392</v>
      </c>
      <c r="E93" s="5" t="s">
        <v>393</v>
      </c>
      <c r="G93" s="5" t="s">
        <v>394</v>
      </c>
    </row>
    <row r="94">
      <c r="A94" s="5" t="s">
        <v>21</v>
      </c>
      <c r="B94" s="5" t="s">
        <v>395</v>
      </c>
      <c r="C94" s="5" t="s">
        <v>23</v>
      </c>
      <c r="D94" s="5" t="s">
        <v>392</v>
      </c>
      <c r="E94" s="5" t="s">
        <v>396</v>
      </c>
      <c r="G94" s="5" t="s">
        <v>397</v>
      </c>
    </row>
    <row r="95">
      <c r="A95" s="5" t="s">
        <v>21</v>
      </c>
      <c r="B95" s="5" t="s">
        <v>398</v>
      </c>
      <c r="C95" s="5" t="s">
        <v>23</v>
      </c>
      <c r="D95" s="5" t="s">
        <v>204</v>
      </c>
      <c r="E95" s="5" t="s">
        <v>400</v>
      </c>
      <c r="G95" s="5" t="s">
        <v>401</v>
      </c>
    </row>
    <row r="96">
      <c r="A96" s="5" t="s">
        <v>21</v>
      </c>
      <c r="B96" s="5" t="s">
        <v>404</v>
      </c>
      <c r="C96" s="5" t="s">
        <v>23</v>
      </c>
      <c r="D96" s="5" t="s">
        <v>86</v>
      </c>
      <c r="E96" s="5" t="s">
        <v>407</v>
      </c>
      <c r="G96" s="5" t="s">
        <v>409</v>
      </c>
    </row>
    <row r="97">
      <c r="A97" s="5" t="s">
        <v>21</v>
      </c>
      <c r="B97" s="5" t="s">
        <v>413</v>
      </c>
      <c r="C97" s="5" t="s">
        <v>23</v>
      </c>
      <c r="D97" s="5" t="s">
        <v>204</v>
      </c>
      <c r="E97" s="5" t="s">
        <v>415</v>
      </c>
      <c r="G97" s="5" t="s">
        <v>416</v>
      </c>
    </row>
    <row r="98">
      <c r="A98" s="5" t="s">
        <v>21</v>
      </c>
      <c r="B98" s="5" t="s">
        <v>418</v>
      </c>
      <c r="C98" s="5" t="s">
        <v>23</v>
      </c>
      <c r="D98" s="5" t="s">
        <v>86</v>
      </c>
      <c r="E98" s="5" t="s">
        <v>419</v>
      </c>
      <c r="G98" s="5" t="s">
        <v>420</v>
      </c>
    </row>
    <row r="99">
      <c r="A99" s="5" t="s">
        <v>21</v>
      </c>
      <c r="B99" s="5" t="s">
        <v>421</v>
      </c>
      <c r="C99" s="5" t="s">
        <v>23</v>
      </c>
      <c r="D99" s="5" t="s">
        <v>422</v>
      </c>
      <c r="E99" s="5"/>
      <c r="F99" s="5" t="s">
        <v>423</v>
      </c>
      <c r="G99" s="5" t="s">
        <v>424</v>
      </c>
    </row>
    <row r="100">
      <c r="A100" s="5" t="s">
        <v>21</v>
      </c>
      <c r="B100" s="5" t="s">
        <v>425</v>
      </c>
      <c r="C100" s="5" t="s">
        <v>23</v>
      </c>
      <c r="D100" s="5" t="s">
        <v>25</v>
      </c>
      <c r="E100" s="5" t="s">
        <v>426</v>
      </c>
      <c r="G100" s="5" t="s">
        <v>427</v>
      </c>
    </row>
    <row r="101">
      <c r="A101" s="5" t="s">
        <v>66</v>
      </c>
      <c r="B101" s="5" t="s">
        <v>430</v>
      </c>
      <c r="C101" s="5" t="s">
        <v>432</v>
      </c>
    </row>
    <row r="102">
      <c r="A102" s="5" t="s">
        <v>21</v>
      </c>
      <c r="B102" s="5" t="s">
        <v>433</v>
      </c>
      <c r="C102" s="5" t="s">
        <v>23</v>
      </c>
      <c r="D102" s="5" t="s">
        <v>204</v>
      </c>
      <c r="E102" s="5"/>
      <c r="F102" s="5" t="s">
        <v>434</v>
      </c>
      <c r="G102" s="5" t="s">
        <v>435</v>
      </c>
    </row>
    <row r="103">
      <c r="A103" s="5" t="s">
        <v>21</v>
      </c>
      <c r="B103" s="5" t="s">
        <v>436</v>
      </c>
      <c r="C103" s="5" t="s">
        <v>23</v>
      </c>
      <c r="D103" s="5" t="s">
        <v>204</v>
      </c>
      <c r="E103" s="5" t="s">
        <v>437</v>
      </c>
      <c r="G103" s="5" t="s">
        <v>438</v>
      </c>
    </row>
    <row r="104">
      <c r="A104" s="5" t="s">
        <v>321</v>
      </c>
      <c r="B104" s="5" t="s">
        <v>439</v>
      </c>
      <c r="C104" s="5" t="s">
        <v>440</v>
      </c>
    </row>
    <row r="105">
      <c r="A105" s="5" t="s">
        <v>66</v>
      </c>
      <c r="B105" s="5" t="s">
        <v>441</v>
      </c>
      <c r="C105" s="5" t="s">
        <v>69</v>
      </c>
    </row>
    <row r="106">
      <c r="A106" s="5" t="s">
        <v>21</v>
      </c>
      <c r="B106" s="5" t="s">
        <v>442</v>
      </c>
      <c r="C106" s="5" t="s">
        <v>23</v>
      </c>
      <c r="D106" s="5" t="s">
        <v>86</v>
      </c>
      <c r="E106" s="5"/>
      <c r="F106" s="5" t="s">
        <v>444</v>
      </c>
      <c r="G106" s="5" t="s">
        <v>446</v>
      </c>
    </row>
    <row r="107">
      <c r="A107" s="5" t="s">
        <v>21</v>
      </c>
      <c r="B107" s="5" t="s">
        <v>448</v>
      </c>
      <c r="C107" s="5" t="s">
        <v>23</v>
      </c>
      <c r="D107" s="5" t="s">
        <v>166</v>
      </c>
      <c r="E107" s="5" t="s">
        <v>449</v>
      </c>
      <c r="G107" s="5" t="s">
        <v>450</v>
      </c>
    </row>
    <row r="108">
      <c r="A108" s="5" t="s">
        <v>21</v>
      </c>
      <c r="B108" s="5" t="s">
        <v>451</v>
      </c>
      <c r="C108" s="5" t="s">
        <v>23</v>
      </c>
      <c r="D108" s="5" t="s">
        <v>452</v>
      </c>
      <c r="E108" s="5"/>
      <c r="F108" s="5" t="s">
        <v>453</v>
      </c>
      <c r="G108" s="5" t="s">
        <v>454</v>
      </c>
    </row>
    <row r="109">
      <c r="A109" s="5" t="s">
        <v>21</v>
      </c>
      <c r="B109" s="5" t="s">
        <v>455</v>
      </c>
      <c r="C109" s="5" t="s">
        <v>23</v>
      </c>
      <c r="D109" s="5" t="s">
        <v>452</v>
      </c>
      <c r="E109" s="5" t="s">
        <v>456</v>
      </c>
      <c r="G109" s="5" t="s">
        <v>457</v>
      </c>
    </row>
    <row r="110">
      <c r="A110" s="5" t="s">
        <v>21</v>
      </c>
      <c r="B110" s="5" t="s">
        <v>458</v>
      </c>
      <c r="C110" s="5" t="s">
        <v>23</v>
      </c>
      <c r="D110" s="5" t="s">
        <v>452</v>
      </c>
      <c r="E110" s="5"/>
      <c r="F110" s="5" t="s">
        <v>460</v>
      </c>
      <c r="G110" s="5" t="s">
        <v>462</v>
      </c>
    </row>
    <row r="111">
      <c r="A111" s="5" t="s">
        <v>222</v>
      </c>
      <c r="B111" s="5" t="s">
        <v>464</v>
      </c>
      <c r="C111" s="5" t="s">
        <v>465</v>
      </c>
      <c r="E111" s="5"/>
      <c r="F111" s="5" t="s">
        <v>466</v>
      </c>
      <c r="G111" s="5" t="s">
        <v>467</v>
      </c>
    </row>
    <row r="112">
      <c r="A112" s="5" t="s">
        <v>21</v>
      </c>
      <c r="B112" s="5" t="s">
        <v>468</v>
      </c>
      <c r="C112" s="5" t="s">
        <v>23</v>
      </c>
      <c r="D112" s="5" t="s">
        <v>469</v>
      </c>
      <c r="E112" s="5" t="s">
        <v>470</v>
      </c>
      <c r="G112" s="5" t="s">
        <v>471</v>
      </c>
    </row>
    <row r="113">
      <c r="A113" s="5" t="s">
        <v>21</v>
      </c>
      <c r="B113" s="5" t="s">
        <v>472</v>
      </c>
      <c r="C113" s="5" t="s">
        <v>23</v>
      </c>
      <c r="D113" s="5" t="s">
        <v>150</v>
      </c>
      <c r="E113" s="5"/>
      <c r="F113" s="5" t="s">
        <v>473</v>
      </c>
      <c r="G113" s="5" t="s">
        <v>474</v>
      </c>
    </row>
    <row r="114">
      <c r="A114" s="5" t="s">
        <v>222</v>
      </c>
      <c r="B114" s="5" t="s">
        <v>475</v>
      </c>
      <c r="C114" s="5" t="s">
        <v>476</v>
      </c>
      <c r="E114" s="5"/>
      <c r="F114" s="5" t="s">
        <v>477</v>
      </c>
      <c r="G114" s="5" t="s">
        <v>478</v>
      </c>
    </row>
    <row r="115">
      <c r="A115" s="5" t="s">
        <v>66</v>
      </c>
      <c r="B115" s="5" t="s">
        <v>479</v>
      </c>
      <c r="C115" s="5" t="s">
        <v>69</v>
      </c>
    </row>
    <row r="116">
      <c r="A116" s="5" t="s">
        <v>21</v>
      </c>
      <c r="B116" s="5" t="s">
        <v>482</v>
      </c>
      <c r="C116" s="5" t="s">
        <v>23</v>
      </c>
      <c r="D116" s="5" t="s">
        <v>483</v>
      </c>
      <c r="E116" s="5" t="s">
        <v>484</v>
      </c>
      <c r="G116" s="5" t="s">
        <v>485</v>
      </c>
    </row>
    <row r="117">
      <c r="A117" s="5" t="s">
        <v>21</v>
      </c>
      <c r="B117" s="5" t="s">
        <v>486</v>
      </c>
      <c r="C117" s="5" t="s">
        <v>23</v>
      </c>
      <c r="D117" s="5" t="s">
        <v>166</v>
      </c>
      <c r="E117" s="5" t="s">
        <v>487</v>
      </c>
      <c r="G117" s="5" t="s">
        <v>488</v>
      </c>
    </row>
    <row r="118">
      <c r="A118" s="5" t="s">
        <v>21</v>
      </c>
      <c r="B118" s="5" t="s">
        <v>489</v>
      </c>
      <c r="C118" s="5" t="s">
        <v>23</v>
      </c>
      <c r="D118" s="5" t="s">
        <v>490</v>
      </c>
      <c r="E118" s="5"/>
      <c r="F118" s="5" t="s">
        <v>491</v>
      </c>
      <c r="G118" s="5" t="s">
        <v>492</v>
      </c>
    </row>
    <row r="119">
      <c r="A119" s="5" t="s">
        <v>21</v>
      </c>
      <c r="B119" s="5" t="s">
        <v>493</v>
      </c>
      <c r="C119" s="5" t="s">
        <v>23</v>
      </c>
      <c r="D119" s="5" t="s">
        <v>150</v>
      </c>
      <c r="E119" s="5" t="s">
        <v>494</v>
      </c>
      <c r="G119" s="5" t="s">
        <v>495</v>
      </c>
    </row>
    <row r="120">
      <c r="A120" s="5" t="s">
        <v>66</v>
      </c>
      <c r="B120" s="5" t="s">
        <v>496</v>
      </c>
      <c r="C120" s="5" t="s">
        <v>69</v>
      </c>
    </row>
    <row r="121">
      <c r="A121" s="5" t="s">
        <v>21</v>
      </c>
      <c r="B121" s="5" t="s">
        <v>498</v>
      </c>
      <c r="C121" s="5" t="s">
        <v>55</v>
      </c>
      <c r="E121" s="5"/>
      <c r="F121" s="5" t="s">
        <v>499</v>
      </c>
      <c r="G121" s="5" t="s">
        <v>500</v>
      </c>
    </row>
    <row r="122">
      <c r="A122" s="5" t="s">
        <v>71</v>
      </c>
      <c r="B122" s="5" t="s">
        <v>501</v>
      </c>
      <c r="C122" s="5" t="s">
        <v>69</v>
      </c>
    </row>
    <row r="123">
      <c r="A123" s="5" t="s">
        <v>71</v>
      </c>
      <c r="B123" s="5" t="s">
        <v>502</v>
      </c>
      <c r="C123" s="5" t="s">
        <v>69</v>
      </c>
    </row>
    <row r="124">
      <c r="A124" s="5" t="s">
        <v>71</v>
      </c>
      <c r="B124" s="5" t="s">
        <v>503</v>
      </c>
      <c r="C124" s="5" t="s">
        <v>69</v>
      </c>
    </row>
    <row r="125">
      <c r="A125" s="5" t="s">
        <v>71</v>
      </c>
      <c r="B125" s="5" t="s">
        <v>504</v>
      </c>
      <c r="C125" s="5" t="s">
        <v>69</v>
      </c>
    </row>
    <row r="126">
      <c r="A126" s="5" t="s">
        <v>71</v>
      </c>
      <c r="B126" s="5" t="s">
        <v>505</v>
      </c>
      <c r="C126" s="5" t="s">
        <v>69</v>
      </c>
    </row>
    <row r="127">
      <c r="A127" s="5" t="s">
        <v>71</v>
      </c>
      <c r="B127" s="5" t="s">
        <v>506</v>
      </c>
      <c r="C127" s="5" t="s">
        <v>69</v>
      </c>
    </row>
    <row r="128">
      <c r="A128" s="5" t="s">
        <v>71</v>
      </c>
      <c r="B128" s="5" t="s">
        <v>508</v>
      </c>
      <c r="C128" s="5" t="s">
        <v>69</v>
      </c>
    </row>
    <row r="129">
      <c r="A129" s="5" t="s">
        <v>71</v>
      </c>
      <c r="B129" s="5" t="s">
        <v>510</v>
      </c>
      <c r="C129" s="5" t="s">
        <v>69</v>
      </c>
    </row>
    <row r="130">
      <c r="A130" s="5" t="s">
        <v>71</v>
      </c>
      <c r="B130" s="5" t="s">
        <v>511</v>
      </c>
      <c r="C130" s="5" t="s">
        <v>69</v>
      </c>
    </row>
    <row r="131">
      <c r="A131" s="5" t="s">
        <v>71</v>
      </c>
      <c r="B131" s="5" t="s">
        <v>512</v>
      </c>
      <c r="C131" s="5" t="s">
        <v>69</v>
      </c>
    </row>
    <row r="132">
      <c r="A132" s="5" t="s">
        <v>71</v>
      </c>
      <c r="B132" s="5" t="s">
        <v>513</v>
      </c>
      <c r="C132" s="5" t="s">
        <v>69</v>
      </c>
    </row>
    <row r="133">
      <c r="A133" s="5" t="s">
        <v>71</v>
      </c>
      <c r="B133" s="5" t="s">
        <v>514</v>
      </c>
      <c r="C133" s="5" t="s">
        <v>69</v>
      </c>
    </row>
    <row r="134">
      <c r="A134" s="5" t="s">
        <v>71</v>
      </c>
      <c r="B134" s="5" t="s">
        <v>515</v>
      </c>
      <c r="C134" s="5" t="s">
        <v>69</v>
      </c>
    </row>
    <row r="135">
      <c r="A135" s="5" t="s">
        <v>71</v>
      </c>
      <c r="B135" s="5" t="s">
        <v>516</v>
      </c>
      <c r="C135" s="5" t="s">
        <v>69</v>
      </c>
    </row>
    <row r="136">
      <c r="A136" s="5" t="s">
        <v>71</v>
      </c>
      <c r="B136" s="5" t="s">
        <v>517</v>
      </c>
      <c r="C136" s="5" t="s">
        <v>69</v>
      </c>
    </row>
    <row r="137">
      <c r="A137" s="5" t="s">
        <v>21</v>
      </c>
      <c r="B137" s="5" t="s">
        <v>521</v>
      </c>
      <c r="C137" s="5" t="s">
        <v>23</v>
      </c>
      <c r="D137" s="5" t="s">
        <v>522</v>
      </c>
      <c r="E137" s="5" t="s">
        <v>523</v>
      </c>
      <c r="G137" s="5" t="s">
        <v>524</v>
      </c>
    </row>
    <row r="138">
      <c r="A138" s="5" t="s">
        <v>21</v>
      </c>
      <c r="B138" s="5" t="s">
        <v>525</v>
      </c>
      <c r="C138" s="5" t="s">
        <v>23</v>
      </c>
      <c r="D138" s="5" t="s">
        <v>25</v>
      </c>
      <c r="E138" s="5" t="s">
        <v>526</v>
      </c>
      <c r="G138" s="5" t="s">
        <v>527</v>
      </c>
    </row>
    <row r="139">
      <c r="A139" s="5" t="s">
        <v>21</v>
      </c>
      <c r="B139" s="5" t="s">
        <v>528</v>
      </c>
      <c r="C139" s="5" t="s">
        <v>23</v>
      </c>
      <c r="D139" s="5" t="s">
        <v>25</v>
      </c>
      <c r="E139" s="5" t="s">
        <v>529</v>
      </c>
      <c r="G139" s="5" t="s">
        <v>530</v>
      </c>
    </row>
    <row r="140">
      <c r="A140" s="5" t="s">
        <v>21</v>
      </c>
      <c r="B140" s="5" t="s">
        <v>531</v>
      </c>
      <c r="C140" s="5" t="s">
        <v>23</v>
      </c>
      <c r="D140" s="5" t="s">
        <v>91</v>
      </c>
      <c r="E140" s="5" t="s">
        <v>532</v>
      </c>
      <c r="G140" s="5" t="s">
        <v>533</v>
      </c>
    </row>
    <row r="141">
      <c r="A141" s="5" t="s">
        <v>21</v>
      </c>
      <c r="B141" s="5" t="s">
        <v>534</v>
      </c>
      <c r="C141" s="5" t="s">
        <v>23</v>
      </c>
      <c r="D141" s="5" t="s">
        <v>91</v>
      </c>
      <c r="E141" s="5" t="s">
        <v>537</v>
      </c>
      <c r="G141" s="5" t="s">
        <v>538</v>
      </c>
    </row>
    <row r="142">
      <c r="A142" s="5" t="s">
        <v>21</v>
      </c>
      <c r="B142" s="5" t="s">
        <v>539</v>
      </c>
      <c r="C142" s="5" t="s">
        <v>23</v>
      </c>
      <c r="D142" s="5" t="s">
        <v>204</v>
      </c>
      <c r="E142" s="5"/>
      <c r="F142" s="5" t="s">
        <v>540</v>
      </c>
      <c r="G142" s="5" t="s">
        <v>541</v>
      </c>
    </row>
    <row r="143">
      <c r="A143" s="5" t="s">
        <v>66</v>
      </c>
      <c r="B143" s="5" t="s">
        <v>542</v>
      </c>
      <c r="C143" s="5" t="s">
        <v>69</v>
      </c>
    </row>
    <row r="144">
      <c r="A144" s="5" t="s">
        <v>21</v>
      </c>
      <c r="B144" s="5" t="s">
        <v>543</v>
      </c>
      <c r="C144" s="5" t="s">
        <v>55</v>
      </c>
      <c r="E144" s="5"/>
      <c r="F144" s="5" t="s">
        <v>544</v>
      </c>
      <c r="G144" s="5" t="s">
        <v>545</v>
      </c>
    </row>
    <row r="145">
      <c r="A145" s="5" t="s">
        <v>66</v>
      </c>
      <c r="B145" s="5" t="s">
        <v>546</v>
      </c>
      <c r="C145" s="5" t="s">
        <v>69</v>
      </c>
    </row>
    <row r="146">
      <c r="A146" s="5" t="s">
        <v>21</v>
      </c>
      <c r="B146" s="5" t="s">
        <v>547</v>
      </c>
      <c r="C146" s="5" t="s">
        <v>23</v>
      </c>
      <c r="D146" s="5" t="s">
        <v>230</v>
      </c>
      <c r="E146" s="5" t="s">
        <v>549</v>
      </c>
      <c r="G146" s="5" t="s">
        <v>551</v>
      </c>
    </row>
    <row r="147">
      <c r="A147" s="5" t="s">
        <v>21</v>
      </c>
      <c r="B147" s="5" t="s">
        <v>552</v>
      </c>
      <c r="C147" s="5" t="s">
        <v>23</v>
      </c>
      <c r="D147" s="5" t="s">
        <v>296</v>
      </c>
      <c r="E147" s="5" t="s">
        <v>553</v>
      </c>
      <c r="G147" s="5" t="s">
        <v>554</v>
      </c>
    </row>
    <row r="148">
      <c r="A148" s="5" t="s">
        <v>21</v>
      </c>
      <c r="B148" s="5" t="s">
        <v>555</v>
      </c>
      <c r="C148" s="5" t="s">
        <v>23</v>
      </c>
      <c r="D148" s="5" t="s">
        <v>125</v>
      </c>
      <c r="E148" s="5"/>
      <c r="F148" s="5" t="s">
        <v>556</v>
      </c>
      <c r="G148" s="5" t="s">
        <v>557</v>
      </c>
    </row>
    <row r="149">
      <c r="A149" s="5" t="s">
        <v>21</v>
      </c>
      <c r="B149" s="5" t="s">
        <v>558</v>
      </c>
      <c r="C149" s="5" t="s">
        <v>23</v>
      </c>
      <c r="D149" s="5" t="s">
        <v>86</v>
      </c>
      <c r="E149" s="5" t="s">
        <v>559</v>
      </c>
      <c r="G149" s="5" t="s">
        <v>560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14</v>
      </c>
      <c r="I1" s="1" t="s">
        <v>16</v>
      </c>
      <c r="J1" s="1" t="s">
        <v>18</v>
      </c>
      <c r="K1" s="6" t="s">
        <v>20</v>
      </c>
      <c r="L1" s="6" t="s">
        <v>24</v>
      </c>
    </row>
    <row r="2">
      <c r="A2" s="8" t="s">
        <v>26</v>
      </c>
      <c r="B2" s="10"/>
      <c r="C2" s="6">
        <v>1.0</v>
      </c>
      <c r="D2" s="10"/>
      <c r="E2" s="10"/>
      <c r="F2" s="10"/>
      <c r="G2" s="10"/>
      <c r="H2" s="10"/>
      <c r="I2" s="10"/>
      <c r="J2" s="10"/>
      <c r="K2" s="12"/>
      <c r="L2" s="12"/>
    </row>
    <row r="3">
      <c r="A3" s="8" t="s">
        <v>39</v>
      </c>
      <c r="B3" s="10"/>
      <c r="C3" s="10"/>
      <c r="D3" s="10"/>
      <c r="E3" s="10"/>
      <c r="F3" s="10"/>
      <c r="G3" s="10"/>
      <c r="H3" s="10"/>
      <c r="I3" s="10"/>
      <c r="J3" s="10"/>
      <c r="K3" s="12"/>
      <c r="L3" s="12"/>
    </row>
    <row r="4">
      <c r="A4" s="8" t="s">
        <v>49</v>
      </c>
      <c r="B4" s="10"/>
      <c r="C4" s="10"/>
      <c r="D4" s="10"/>
      <c r="E4" s="10"/>
      <c r="F4" s="10"/>
      <c r="G4" s="10"/>
      <c r="H4" s="10"/>
      <c r="I4" s="10"/>
      <c r="J4" s="10"/>
      <c r="K4" s="12"/>
      <c r="L4" s="12"/>
    </row>
    <row r="5">
      <c r="A5" s="8" t="s">
        <v>60</v>
      </c>
      <c r="B5" s="10"/>
      <c r="C5" s="10"/>
      <c r="D5" s="10"/>
      <c r="E5" s="10"/>
      <c r="F5" s="10"/>
      <c r="G5" s="10"/>
      <c r="H5" s="10"/>
      <c r="I5" s="10"/>
      <c r="J5" s="10"/>
      <c r="K5" s="12"/>
      <c r="L5" s="12"/>
    </row>
    <row r="6">
      <c r="A6" s="8" t="s">
        <v>68</v>
      </c>
      <c r="B6" s="10"/>
      <c r="C6" s="10"/>
      <c r="D6" s="10"/>
      <c r="E6" s="10"/>
      <c r="F6" s="10"/>
      <c r="G6" s="10"/>
      <c r="H6" s="10"/>
      <c r="I6" s="10"/>
      <c r="J6" s="10"/>
      <c r="K6" s="12"/>
      <c r="L6" s="12"/>
    </row>
    <row r="7">
      <c r="A7" s="8" t="s">
        <v>75</v>
      </c>
      <c r="B7" s="10"/>
      <c r="C7" s="6">
        <v>1.0</v>
      </c>
      <c r="D7" s="10"/>
      <c r="E7" s="10"/>
      <c r="F7" s="10"/>
      <c r="G7" s="10"/>
      <c r="H7" s="10"/>
      <c r="I7" s="10"/>
      <c r="J7" s="10"/>
      <c r="K7" s="12"/>
      <c r="L7" s="12"/>
    </row>
    <row r="8">
      <c r="A8" s="8" t="s">
        <v>83</v>
      </c>
      <c r="B8" s="10"/>
      <c r="C8" s="10"/>
      <c r="D8" s="10"/>
      <c r="E8" s="10"/>
      <c r="F8" s="10"/>
      <c r="G8" s="10"/>
      <c r="H8" s="10"/>
      <c r="I8" s="10"/>
      <c r="J8" s="10"/>
      <c r="K8" s="12"/>
      <c r="L8" s="12"/>
    </row>
    <row r="9">
      <c r="A9" s="8" t="s">
        <v>93</v>
      </c>
      <c r="B9" s="10"/>
      <c r="C9" s="10"/>
      <c r="D9" s="10"/>
      <c r="E9" s="10"/>
      <c r="F9" s="10"/>
      <c r="G9" s="10"/>
      <c r="H9" s="10"/>
      <c r="I9" s="10"/>
      <c r="J9" s="10"/>
      <c r="K9" s="12"/>
      <c r="L9" s="12"/>
    </row>
    <row r="10">
      <c r="A10" s="8" t="s">
        <v>103</v>
      </c>
      <c r="B10" s="10"/>
      <c r="C10" s="10"/>
      <c r="D10" s="10"/>
      <c r="E10" s="10"/>
      <c r="F10" s="10"/>
      <c r="G10" s="10"/>
      <c r="H10" s="10"/>
      <c r="I10" s="10"/>
      <c r="J10" s="10"/>
      <c r="K10" s="12"/>
      <c r="L1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3" t="s">
        <v>2</v>
      </c>
      <c r="B1" s="9" t="s">
        <v>13</v>
      </c>
      <c r="C1" s="9" t="s">
        <v>30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4" t="s">
        <v>22</v>
      </c>
      <c r="B2" s="14" t="s">
        <v>27</v>
      </c>
      <c r="C2" s="14" t="s">
        <v>58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92</v>
      </c>
      <c r="B3" s="14" t="s">
        <v>94</v>
      </c>
      <c r="C3" s="14" t="s">
        <v>97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116</v>
      </c>
      <c r="B4" s="14" t="s">
        <v>118</v>
      </c>
      <c r="C4" s="19" t="s">
        <v>120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 t="s">
        <v>29</v>
      </c>
      <c r="B5" s="14" t="s">
        <v>32</v>
      </c>
      <c r="C5" s="14" t="s">
        <v>141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34</v>
      </c>
      <c r="B6" s="14" t="s">
        <v>36</v>
      </c>
      <c r="C6" s="14" t="s">
        <v>157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4" t="s">
        <v>38</v>
      </c>
      <c r="B7" s="14" t="s">
        <v>41</v>
      </c>
      <c r="C7" s="14" t="s">
        <v>175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43</v>
      </c>
      <c r="B8" s="14" t="s">
        <v>45</v>
      </c>
      <c r="C8" s="14" t="s">
        <v>189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48</v>
      </c>
      <c r="B9" s="14" t="s">
        <v>51</v>
      </c>
      <c r="C9" s="14" t="s">
        <v>205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224</v>
      </c>
      <c r="B10" s="14" t="s">
        <v>57</v>
      </c>
      <c r="C10" s="14" t="s">
        <v>227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4" t="s">
        <v>245</v>
      </c>
      <c r="B11" s="14" t="s">
        <v>247</v>
      </c>
      <c r="C11" s="19" t="s">
        <v>248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4" t="s">
        <v>262</v>
      </c>
      <c r="B12" s="14" t="s">
        <v>264</v>
      </c>
      <c r="C12" s="14" t="s">
        <v>265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4" t="s">
        <v>280</v>
      </c>
      <c r="B13" s="14" t="s">
        <v>281</v>
      </c>
      <c r="C13" s="14" t="s">
        <v>282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4" t="s">
        <v>300</v>
      </c>
      <c r="B14" s="14" t="s">
        <v>302</v>
      </c>
      <c r="C14" s="14" t="s">
        <v>303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4" t="s">
        <v>318</v>
      </c>
      <c r="B15" s="14" t="s">
        <v>320</v>
      </c>
      <c r="C15" s="14" t="s">
        <v>322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4" t="s">
        <v>61</v>
      </c>
      <c r="B16" s="23" t="s">
        <v>63</v>
      </c>
      <c r="C16" s="14" t="s">
        <v>329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4" t="s">
        <v>67</v>
      </c>
      <c r="B17" s="14" t="s">
        <v>341</v>
      </c>
      <c r="C17" s="14" t="s">
        <v>343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4" t="s">
        <v>356</v>
      </c>
      <c r="B18" s="14" t="s">
        <v>358</v>
      </c>
      <c r="C18" s="14" t="s">
        <v>360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4" t="s">
        <v>371</v>
      </c>
      <c r="B19" s="14" t="s">
        <v>373</v>
      </c>
      <c r="C19" s="14" t="s">
        <v>375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4" t="s">
        <v>385</v>
      </c>
      <c r="B20" s="19" t="s">
        <v>386</v>
      </c>
      <c r="C20" s="14" t="s">
        <v>388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4" t="s">
        <v>406</v>
      </c>
      <c r="B21" s="14" t="s">
        <v>408</v>
      </c>
      <c r="C21" s="14" t="s">
        <v>411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4" t="s">
        <v>428</v>
      </c>
      <c r="B22" s="14" t="s">
        <v>429</v>
      </c>
      <c r="C22" s="14" t="s">
        <v>431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4" t="s">
        <v>443</v>
      </c>
      <c r="B23" s="14" t="s">
        <v>445</v>
      </c>
      <c r="C23" s="14" t="s">
        <v>447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4" t="s">
        <v>459</v>
      </c>
      <c r="B24" s="14" t="s">
        <v>461</v>
      </c>
      <c r="C24" s="14" t="s">
        <v>463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4" t="s">
        <v>72</v>
      </c>
      <c r="B25" s="14" t="s">
        <v>480</v>
      </c>
      <c r="C25" s="14" t="s">
        <v>481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4" t="s">
        <v>74</v>
      </c>
      <c r="B26" s="14" t="s">
        <v>76</v>
      </c>
      <c r="C26" s="14" t="s">
        <v>497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4" t="s">
        <v>79</v>
      </c>
      <c r="B27" s="14" t="s">
        <v>507</v>
      </c>
      <c r="C27" s="14" t="s">
        <v>509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4" t="s">
        <v>518</v>
      </c>
      <c r="B28" s="14" t="s">
        <v>519</v>
      </c>
      <c r="C28" s="14" t="s">
        <v>520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4" t="s">
        <v>82</v>
      </c>
      <c r="B29" s="14" t="s">
        <v>535</v>
      </c>
      <c r="C29" s="14" t="s">
        <v>536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4" t="s">
        <v>548</v>
      </c>
      <c r="B30" s="14" t="s">
        <v>550</v>
      </c>
      <c r="C30" s="14" t="s">
        <v>548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4" t="s">
        <v>561</v>
      </c>
      <c r="B31" s="14" t="s">
        <v>562</v>
      </c>
      <c r="C31" s="14" t="s">
        <v>563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4" t="s">
        <v>564</v>
      </c>
      <c r="B32" s="14" t="s">
        <v>87</v>
      </c>
      <c r="C32" s="14" t="s">
        <v>565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4" t="s">
        <v>566</v>
      </c>
      <c r="B33" s="14" t="s">
        <v>567</v>
      </c>
      <c r="C33" s="14" t="s">
        <v>568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4" t="s">
        <v>569</v>
      </c>
      <c r="B34" s="14" t="s">
        <v>570</v>
      </c>
      <c r="C34" s="14" t="s">
        <v>571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4" t="s">
        <v>90</v>
      </c>
      <c r="B35" s="14" t="s">
        <v>95</v>
      </c>
      <c r="C35" s="14" t="s">
        <v>572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4" t="s">
        <v>573</v>
      </c>
      <c r="B36" s="14" t="s">
        <v>99</v>
      </c>
      <c r="C36" s="14" t="s">
        <v>574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4" t="s">
        <v>575</v>
      </c>
      <c r="B37" s="14" t="s">
        <v>576</v>
      </c>
      <c r="C37" s="14" t="s">
        <v>577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4" t="s">
        <v>101</v>
      </c>
      <c r="B38" s="14" t="s">
        <v>104</v>
      </c>
      <c r="C38" s="14" t="s">
        <v>578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4" t="s">
        <v>107</v>
      </c>
      <c r="B39" s="14" t="s">
        <v>108</v>
      </c>
      <c r="C39" s="14" t="s">
        <v>584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4" t="s">
        <v>111</v>
      </c>
      <c r="B40" s="14" t="s">
        <v>113</v>
      </c>
      <c r="C40" s="14" t="s">
        <v>593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4" t="s">
        <v>119</v>
      </c>
      <c r="B41" s="14" t="s">
        <v>121</v>
      </c>
      <c r="C41" s="14" t="s">
        <v>598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4" t="s">
        <v>124</v>
      </c>
      <c r="B42" s="14" t="s">
        <v>126</v>
      </c>
      <c r="C42" s="14" t="s">
        <v>599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4" t="s">
        <v>600</v>
      </c>
      <c r="B43" s="14" t="s">
        <v>130</v>
      </c>
      <c r="C43" s="14" t="s">
        <v>601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4" t="s">
        <v>133</v>
      </c>
      <c r="B44" s="14" t="s">
        <v>135</v>
      </c>
      <c r="C44" s="14" t="s">
        <v>602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4" t="s">
        <v>137</v>
      </c>
      <c r="B45" s="14" t="s">
        <v>138</v>
      </c>
      <c r="C45" s="14" t="s">
        <v>603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4" t="s">
        <v>604</v>
      </c>
      <c r="B46" s="14" t="s">
        <v>605</v>
      </c>
      <c r="C46" s="14" t="s">
        <v>604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4" t="s">
        <v>140</v>
      </c>
      <c r="B47" s="14" t="s">
        <v>606</v>
      </c>
      <c r="C47" s="14" t="s">
        <v>607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4" t="s">
        <v>609</v>
      </c>
      <c r="B48" s="14" t="s">
        <v>610</v>
      </c>
      <c r="C48" s="14" t="s">
        <v>611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4" t="s">
        <v>143</v>
      </c>
      <c r="B49" s="14" t="s">
        <v>145</v>
      </c>
      <c r="C49" s="14" t="s">
        <v>613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4" t="s">
        <v>147</v>
      </c>
      <c r="B50" s="14" t="s">
        <v>148</v>
      </c>
      <c r="C50" s="14" t="s">
        <v>614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4" t="s">
        <v>149</v>
      </c>
      <c r="B51" s="14" t="s">
        <v>151</v>
      </c>
      <c r="C51" s="14" t="s">
        <v>617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4" t="s">
        <v>152</v>
      </c>
      <c r="B52" s="14" t="s">
        <v>153</v>
      </c>
      <c r="C52" s="14" t="s">
        <v>618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4" t="s">
        <v>155</v>
      </c>
      <c r="B53" s="14" t="s">
        <v>156</v>
      </c>
      <c r="C53" s="14" t="s">
        <v>155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4" t="s">
        <v>158</v>
      </c>
      <c r="B54" s="14" t="s">
        <v>160</v>
      </c>
      <c r="C54" s="14" t="s">
        <v>628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4" t="s">
        <v>631</v>
      </c>
      <c r="B55" s="14" t="s">
        <v>632</v>
      </c>
      <c r="C55" s="14" t="s">
        <v>633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4" t="s">
        <v>162</v>
      </c>
      <c r="B56" s="14" t="s">
        <v>163</v>
      </c>
      <c r="C56" s="14" t="s">
        <v>635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4" t="s">
        <v>165</v>
      </c>
      <c r="B57" s="14" t="s">
        <v>167</v>
      </c>
      <c r="C57" s="14" t="s">
        <v>638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4" t="s">
        <v>639</v>
      </c>
      <c r="B58" s="14" t="s">
        <v>640</v>
      </c>
      <c r="C58" s="14" t="s">
        <v>639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4" t="s">
        <v>171</v>
      </c>
      <c r="B59" s="14" t="s">
        <v>641</v>
      </c>
      <c r="C59" s="14" t="s">
        <v>642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4" t="s">
        <v>643</v>
      </c>
      <c r="B60" s="14" t="s">
        <v>644</v>
      </c>
      <c r="C60" s="14" t="s">
        <v>643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4" t="s">
        <v>176</v>
      </c>
      <c r="B61" s="14" t="s">
        <v>645</v>
      </c>
      <c r="C61" s="14" t="s">
        <v>646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4" t="s">
        <v>647</v>
      </c>
      <c r="B62" s="14" t="s">
        <v>648</v>
      </c>
      <c r="C62" s="14" t="s">
        <v>647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4" t="s">
        <v>178</v>
      </c>
      <c r="B63" s="14" t="s">
        <v>179</v>
      </c>
      <c r="C63" s="14" t="s">
        <v>649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4" t="s">
        <v>182</v>
      </c>
      <c r="B64" s="14" t="s">
        <v>183</v>
      </c>
      <c r="C64" s="14" t="s">
        <v>650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4" t="s">
        <v>651</v>
      </c>
      <c r="B65" s="14" t="s">
        <v>652</v>
      </c>
      <c r="C65" s="14" t="s">
        <v>653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4" t="s">
        <v>186</v>
      </c>
      <c r="B66" s="14" t="s">
        <v>187</v>
      </c>
      <c r="C66" s="14" t="s">
        <v>654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4" t="s">
        <v>191</v>
      </c>
      <c r="B67" s="14" t="s">
        <v>193</v>
      </c>
      <c r="C67" s="14" t="s">
        <v>655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4" t="s">
        <v>656</v>
      </c>
      <c r="B68" s="14" t="s">
        <v>657</v>
      </c>
      <c r="C68" s="14" t="s">
        <v>656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4" t="s">
        <v>658</v>
      </c>
      <c r="B69" s="14" t="s">
        <v>659</v>
      </c>
      <c r="C69" s="14" t="s">
        <v>660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4" t="s">
        <v>197</v>
      </c>
      <c r="B70" s="14" t="s">
        <v>661</v>
      </c>
      <c r="C70" s="14" t="s">
        <v>662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4" t="s">
        <v>199</v>
      </c>
      <c r="B71" s="14" t="s">
        <v>201</v>
      </c>
      <c r="C71" s="14" t="s">
        <v>199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4" t="s">
        <v>203</v>
      </c>
      <c r="B72" s="14" t="s">
        <v>206</v>
      </c>
      <c r="C72" s="14" t="s">
        <v>664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4" t="s">
        <v>210</v>
      </c>
      <c r="B73" s="14" t="s">
        <v>212</v>
      </c>
      <c r="C73" s="14" t="s">
        <v>665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4" t="s">
        <v>214</v>
      </c>
      <c r="B74" s="14" t="s">
        <v>216</v>
      </c>
      <c r="C74" s="14" t="s">
        <v>666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4" t="s">
        <v>218</v>
      </c>
      <c r="B75" s="14" t="s">
        <v>219</v>
      </c>
      <c r="C75" s="14" t="s">
        <v>667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4" t="s">
        <v>668</v>
      </c>
      <c r="B76" s="14" t="s">
        <v>669</v>
      </c>
      <c r="C76" s="14" t="s">
        <v>670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4" t="s">
        <v>671</v>
      </c>
      <c r="B77" s="14" t="s">
        <v>672</v>
      </c>
      <c r="C77" s="14" t="s">
        <v>673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4" t="s">
        <v>223</v>
      </c>
      <c r="B78" s="14" t="s">
        <v>226</v>
      </c>
      <c r="C78" s="14" t="s">
        <v>223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4" t="s">
        <v>229</v>
      </c>
      <c r="B79" s="14" t="s">
        <v>231</v>
      </c>
      <c r="C79" s="14" t="s">
        <v>675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4" t="s">
        <v>234</v>
      </c>
      <c r="B80" s="14" t="s">
        <v>236</v>
      </c>
      <c r="C80" s="14" t="s">
        <v>676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4" t="s">
        <v>241</v>
      </c>
      <c r="B81" s="14" t="s">
        <v>243</v>
      </c>
      <c r="C81" s="14" t="s">
        <v>677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4" t="s">
        <v>246</v>
      </c>
      <c r="B82" s="14" t="s">
        <v>249</v>
      </c>
      <c r="C82" s="14" t="s">
        <v>678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4" t="s">
        <v>615</v>
      </c>
      <c r="B83" s="14" t="s">
        <v>679</v>
      </c>
      <c r="C83" s="14" t="s">
        <v>615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4" t="s">
        <v>251</v>
      </c>
      <c r="B84" s="14" t="s">
        <v>252</v>
      </c>
      <c r="C84" s="14" t="s">
        <v>680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4" t="s">
        <v>255</v>
      </c>
      <c r="B85" s="14" t="s">
        <v>257</v>
      </c>
      <c r="C85" s="14" t="s">
        <v>681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4" t="s">
        <v>259</v>
      </c>
      <c r="B86" s="14" t="s">
        <v>260</v>
      </c>
      <c r="C86" s="14" t="s">
        <v>682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4" t="s">
        <v>683</v>
      </c>
      <c r="B87" s="14" t="s">
        <v>358</v>
      </c>
      <c r="C87" s="14" t="s">
        <v>360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4" t="s">
        <v>263</v>
      </c>
      <c r="B88" s="14" t="s">
        <v>266</v>
      </c>
      <c r="C88" s="14" t="s">
        <v>684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4" t="s">
        <v>616</v>
      </c>
      <c r="B89" s="14" t="s">
        <v>270</v>
      </c>
      <c r="C89" s="14" t="s">
        <v>685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4" t="s">
        <v>272</v>
      </c>
      <c r="B90" s="14" t="s">
        <v>273</v>
      </c>
      <c r="C90" s="14" t="s">
        <v>686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4" t="s">
        <v>275</v>
      </c>
      <c r="B91" s="14" t="s">
        <v>277</v>
      </c>
      <c r="C91" s="14" t="s">
        <v>687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4" t="s">
        <v>688</v>
      </c>
      <c r="B92" s="14" t="s">
        <v>689</v>
      </c>
      <c r="C92" s="14" t="s">
        <v>690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4" t="s">
        <v>691</v>
      </c>
      <c r="B93" s="14" t="s">
        <v>692</v>
      </c>
      <c r="C93" s="14" t="s">
        <v>691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4" t="s">
        <v>279</v>
      </c>
      <c r="B94" s="14" t="s">
        <v>284</v>
      </c>
      <c r="C94" s="14" t="s">
        <v>693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4" t="s">
        <v>694</v>
      </c>
      <c r="B95" s="14" t="s">
        <v>695</v>
      </c>
      <c r="C95" s="14" t="s">
        <v>694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4" t="s">
        <v>696</v>
      </c>
      <c r="B96" s="14" t="s">
        <v>697</v>
      </c>
      <c r="C96" s="14" t="s">
        <v>520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4" t="s">
        <v>286</v>
      </c>
      <c r="B97" s="14" t="s">
        <v>287</v>
      </c>
      <c r="C97" s="14" t="s">
        <v>698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4" t="s">
        <v>290</v>
      </c>
      <c r="B98" s="14" t="s">
        <v>292</v>
      </c>
      <c r="C98" s="14" t="s">
        <v>699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4" t="s">
        <v>295</v>
      </c>
      <c r="B99" s="14" t="s">
        <v>297</v>
      </c>
      <c r="C99" s="14" t="s">
        <v>700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4" t="s">
        <v>301</v>
      </c>
      <c r="B100" s="14" t="s">
        <v>304</v>
      </c>
      <c r="C100" s="14" t="s">
        <v>701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4" t="s">
        <v>307</v>
      </c>
      <c r="B101" s="14" t="s">
        <v>308</v>
      </c>
      <c r="C101" s="14" t="s">
        <v>702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4" t="s">
        <v>311</v>
      </c>
      <c r="B102" s="14" t="s">
        <v>312</v>
      </c>
      <c r="C102" s="14" t="s">
        <v>703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4" t="s">
        <v>704</v>
      </c>
      <c r="B103" s="14" t="s">
        <v>705</v>
      </c>
      <c r="C103" s="14" t="s">
        <v>706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4" t="s">
        <v>314</v>
      </c>
      <c r="B104" s="14" t="s">
        <v>315</v>
      </c>
      <c r="C104" s="14" t="s">
        <v>707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4" t="s">
        <v>708</v>
      </c>
      <c r="B105" s="14" t="s">
        <v>709</v>
      </c>
      <c r="C105" s="14" t="s">
        <v>708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4" t="s">
        <v>328</v>
      </c>
      <c r="B106" s="14" t="s">
        <v>710</v>
      </c>
      <c r="C106" s="14" t="s">
        <v>328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4" t="s">
        <v>711</v>
      </c>
      <c r="B107" s="14" t="s">
        <v>712</v>
      </c>
      <c r="C107" s="14" t="s">
        <v>713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4" t="s">
        <v>331</v>
      </c>
      <c r="B108" s="14" t="s">
        <v>332</v>
      </c>
      <c r="C108" s="14" t="s">
        <v>714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4" t="s">
        <v>715</v>
      </c>
      <c r="B109" s="14" t="s">
        <v>716</v>
      </c>
      <c r="C109" s="14" t="s">
        <v>715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4" t="s">
        <v>717</v>
      </c>
      <c r="B110" s="14" t="s">
        <v>718</v>
      </c>
      <c r="C110" s="14" t="s">
        <v>717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4" t="s">
        <v>334</v>
      </c>
      <c r="B111" s="14" t="s">
        <v>336</v>
      </c>
      <c r="C111" s="14" t="s">
        <v>719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4" t="s">
        <v>720</v>
      </c>
      <c r="B112" s="14" t="s">
        <v>721</v>
      </c>
      <c r="C112" s="14" t="s">
        <v>722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4" t="s">
        <v>338</v>
      </c>
      <c r="B113" s="14" t="s">
        <v>339</v>
      </c>
      <c r="C113" s="14" t="s">
        <v>723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4" t="s">
        <v>342</v>
      </c>
      <c r="B114" s="14" t="s">
        <v>344</v>
      </c>
      <c r="C114" s="14" t="s">
        <v>724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4" t="s">
        <v>619</v>
      </c>
      <c r="B115" s="14" t="s">
        <v>725</v>
      </c>
      <c r="C115" s="14" t="s">
        <v>726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4" t="s">
        <v>620</v>
      </c>
      <c r="B116" s="14" t="s">
        <v>347</v>
      </c>
      <c r="C116" s="14" t="s">
        <v>727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4" t="s">
        <v>728</v>
      </c>
      <c r="B117" s="14" t="s">
        <v>729</v>
      </c>
      <c r="C117" s="14" t="s">
        <v>730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4" t="s">
        <v>731</v>
      </c>
      <c r="B118" s="14" t="s">
        <v>732</v>
      </c>
      <c r="C118" s="14" t="s">
        <v>731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4" t="s">
        <v>733</v>
      </c>
      <c r="B119" s="14" t="s">
        <v>734</v>
      </c>
      <c r="C119" s="14" t="s">
        <v>733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4" t="s">
        <v>735</v>
      </c>
      <c r="B120" s="14" t="s">
        <v>734</v>
      </c>
      <c r="C120" s="14" t="s">
        <v>733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4" t="s">
        <v>349</v>
      </c>
      <c r="B121" s="14" t="s">
        <v>350</v>
      </c>
      <c r="C121" s="14" t="s">
        <v>736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4" t="s">
        <v>352</v>
      </c>
      <c r="B122" s="14" t="s">
        <v>353</v>
      </c>
      <c r="C122" s="14" t="s">
        <v>737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4" t="s">
        <v>355</v>
      </c>
      <c r="B123" s="14" t="s">
        <v>357</v>
      </c>
      <c r="C123" s="14" t="s">
        <v>738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4" t="s">
        <v>739</v>
      </c>
      <c r="B124" s="14" t="s">
        <v>740</v>
      </c>
      <c r="C124" s="14" t="s">
        <v>741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4" t="s">
        <v>742</v>
      </c>
      <c r="B125" s="14" t="s">
        <v>743</v>
      </c>
      <c r="C125" s="14" t="s">
        <v>744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4" t="s">
        <v>745</v>
      </c>
      <c r="B126" s="14" t="s">
        <v>746</v>
      </c>
      <c r="C126" s="14" t="s">
        <v>747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4" t="s">
        <v>748</v>
      </c>
      <c r="B127" s="14" t="s">
        <v>749</v>
      </c>
      <c r="C127" s="14" t="s">
        <v>750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4" t="s">
        <v>362</v>
      </c>
      <c r="B128" s="14" t="s">
        <v>559</v>
      </c>
      <c r="C128" s="14" t="s">
        <v>752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4" t="s">
        <v>365</v>
      </c>
      <c r="B129" s="14" t="s">
        <v>366</v>
      </c>
      <c r="C129" s="14" t="s">
        <v>753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4" t="s">
        <v>368</v>
      </c>
      <c r="B130" s="14" t="s">
        <v>369</v>
      </c>
      <c r="C130" s="14" t="s">
        <v>754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4" t="s">
        <v>372</v>
      </c>
      <c r="B131" s="14" t="s">
        <v>374</v>
      </c>
      <c r="C131" s="14" t="s">
        <v>755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4" t="s">
        <v>377</v>
      </c>
      <c r="B132" s="14" t="s">
        <v>378</v>
      </c>
      <c r="C132" s="14" t="s">
        <v>756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4" t="s">
        <v>622</v>
      </c>
      <c r="B133" s="14" t="s">
        <v>382</v>
      </c>
      <c r="C133" s="14" t="s">
        <v>757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4" t="s">
        <v>623</v>
      </c>
      <c r="B134" s="14" t="s">
        <v>387</v>
      </c>
      <c r="C134" s="14" t="s">
        <v>758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4" t="s">
        <v>624</v>
      </c>
      <c r="B135" s="14" t="s">
        <v>393</v>
      </c>
      <c r="C135" s="14" t="s">
        <v>759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4" t="s">
        <v>625</v>
      </c>
      <c r="B136" s="14" t="s">
        <v>396</v>
      </c>
      <c r="C136" s="14" t="s">
        <v>760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4" t="s">
        <v>626</v>
      </c>
      <c r="B137" s="14" t="s">
        <v>761</v>
      </c>
      <c r="C137" s="14" t="s">
        <v>762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4" t="s">
        <v>763</v>
      </c>
      <c r="B138" s="14" t="s">
        <v>764</v>
      </c>
      <c r="C138" s="14" t="s">
        <v>765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4" t="s">
        <v>766</v>
      </c>
      <c r="B139" s="14" t="s">
        <v>767</v>
      </c>
      <c r="C139" s="14" t="s">
        <v>766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4" t="s">
        <v>768</v>
      </c>
      <c r="B140" s="14" t="s">
        <v>769</v>
      </c>
      <c r="C140" s="14" t="s">
        <v>768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4" t="s">
        <v>398</v>
      </c>
      <c r="B141" s="14" t="s">
        <v>400</v>
      </c>
      <c r="C141" s="14" t="s">
        <v>770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4" t="s">
        <v>627</v>
      </c>
      <c r="B142" s="14" t="s">
        <v>407</v>
      </c>
      <c r="C142" s="14" t="s">
        <v>771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4" t="s">
        <v>413</v>
      </c>
      <c r="B143" s="14" t="s">
        <v>415</v>
      </c>
      <c r="C143" s="14" t="s">
        <v>772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4" t="s">
        <v>773</v>
      </c>
      <c r="B144" s="14" t="s">
        <v>774</v>
      </c>
      <c r="C144" s="14" t="s">
        <v>775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4" t="s">
        <v>418</v>
      </c>
      <c r="B145" s="14" t="s">
        <v>419</v>
      </c>
      <c r="C145" s="14" t="s">
        <v>776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4" t="s">
        <v>421</v>
      </c>
      <c r="B146" s="14" t="s">
        <v>423</v>
      </c>
      <c r="C146" s="14" t="s">
        <v>777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4" t="s">
        <v>778</v>
      </c>
      <c r="B147" s="14" t="s">
        <v>779</v>
      </c>
      <c r="C147" s="14" t="s">
        <v>780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4" t="s">
        <v>781</v>
      </c>
      <c r="B148" s="14" t="s">
        <v>782</v>
      </c>
      <c r="C148" s="14" t="s">
        <v>781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4" t="s">
        <v>783</v>
      </c>
      <c r="B149" s="14" t="s">
        <v>784</v>
      </c>
      <c r="C149" s="14" t="s">
        <v>785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4" t="s">
        <v>425</v>
      </c>
      <c r="B150" s="14" t="s">
        <v>108</v>
      </c>
      <c r="C150" s="14" t="s">
        <v>584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4" t="s">
        <v>430</v>
      </c>
      <c r="B151" s="14" t="s">
        <v>786</v>
      </c>
      <c r="C151" s="14" t="s">
        <v>430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4" t="s">
        <v>787</v>
      </c>
      <c r="B152" s="14" t="s">
        <v>788</v>
      </c>
      <c r="C152" s="14" t="s">
        <v>789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4" t="s">
        <v>790</v>
      </c>
      <c r="B153" s="14" t="s">
        <v>791</v>
      </c>
      <c r="C153" s="14" t="s">
        <v>792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4" t="s">
        <v>793</v>
      </c>
      <c r="B154" s="14" t="s">
        <v>794</v>
      </c>
      <c r="C154" s="14" t="s">
        <v>795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4" t="s">
        <v>433</v>
      </c>
      <c r="B155" s="14" t="s">
        <v>434</v>
      </c>
      <c r="C155" s="14" t="s">
        <v>796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4" t="s">
        <v>436</v>
      </c>
      <c r="B156" s="14" t="s">
        <v>437</v>
      </c>
      <c r="C156" s="14" t="s">
        <v>797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4" t="s">
        <v>439</v>
      </c>
      <c r="B157" s="14" t="s">
        <v>798</v>
      </c>
      <c r="C157" s="14" t="s">
        <v>799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4" t="s">
        <v>800</v>
      </c>
      <c r="B158" s="14" t="s">
        <v>801</v>
      </c>
      <c r="C158" s="14" t="s">
        <v>802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4" t="s">
        <v>629</v>
      </c>
      <c r="B159" s="14" t="s">
        <v>803</v>
      </c>
      <c r="C159" s="14" t="s">
        <v>629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4" t="s">
        <v>804</v>
      </c>
      <c r="B160" s="14" t="s">
        <v>805</v>
      </c>
      <c r="C160" s="14" t="s">
        <v>806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4" t="s">
        <v>807</v>
      </c>
      <c r="B161" s="14" t="s">
        <v>808</v>
      </c>
      <c r="C161" s="14" t="s">
        <v>809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4" t="s">
        <v>442</v>
      </c>
      <c r="B162" s="14" t="s">
        <v>444</v>
      </c>
      <c r="C162" s="14" t="s">
        <v>442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4" t="s">
        <v>448</v>
      </c>
      <c r="B163" s="14" t="s">
        <v>449</v>
      </c>
      <c r="C163" s="14" t="s">
        <v>810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4" t="s">
        <v>811</v>
      </c>
      <c r="B164" s="14" t="s">
        <v>812</v>
      </c>
      <c r="C164" s="14" t="s">
        <v>813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4" t="s">
        <v>451</v>
      </c>
      <c r="B165" s="14" t="s">
        <v>453</v>
      </c>
      <c r="C165" s="14" t="s">
        <v>814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4" t="s">
        <v>815</v>
      </c>
      <c r="B166" s="14" t="s">
        <v>816</v>
      </c>
      <c r="C166" s="14" t="s">
        <v>817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4" t="s">
        <v>818</v>
      </c>
      <c r="B167" s="14" t="s">
        <v>819</v>
      </c>
      <c r="C167" s="14" t="s">
        <v>820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4" t="s">
        <v>821</v>
      </c>
      <c r="B168" s="14" t="s">
        <v>822</v>
      </c>
      <c r="C168" s="14" t="s">
        <v>821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4" t="s">
        <v>455</v>
      </c>
      <c r="B169" s="14" t="s">
        <v>456</v>
      </c>
      <c r="C169" s="14" t="s">
        <v>823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4" t="s">
        <v>458</v>
      </c>
      <c r="B170" s="14" t="s">
        <v>460</v>
      </c>
      <c r="C170" s="14" t="s">
        <v>824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4" t="s">
        <v>464</v>
      </c>
      <c r="B171" s="14" t="s">
        <v>466</v>
      </c>
      <c r="C171" s="14" t="s">
        <v>464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4" t="s">
        <v>468</v>
      </c>
      <c r="B172" s="14" t="s">
        <v>470</v>
      </c>
      <c r="C172" s="14" t="s">
        <v>825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4" t="s">
        <v>472</v>
      </c>
      <c r="B173" s="14" t="s">
        <v>473</v>
      </c>
      <c r="C173" s="14" t="s">
        <v>826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4" t="s">
        <v>827</v>
      </c>
      <c r="B174" s="14" t="s">
        <v>828</v>
      </c>
      <c r="C174" s="14" t="s">
        <v>829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4" t="s">
        <v>830</v>
      </c>
      <c r="B175" s="14" t="s">
        <v>831</v>
      </c>
      <c r="C175" s="14" t="s">
        <v>830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4" t="s">
        <v>832</v>
      </c>
      <c r="B176" s="14" t="s">
        <v>833</v>
      </c>
      <c r="C176" s="14" t="s">
        <v>834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4" t="s">
        <v>835</v>
      </c>
      <c r="B177" s="14" t="s">
        <v>836</v>
      </c>
      <c r="C177" s="14" t="s">
        <v>837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4" t="s">
        <v>838</v>
      </c>
      <c r="B178" s="14" t="s">
        <v>839</v>
      </c>
      <c r="C178" s="14" t="s">
        <v>838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4" t="s">
        <v>840</v>
      </c>
      <c r="B179" s="14" t="s">
        <v>841</v>
      </c>
      <c r="C179" s="14" t="s">
        <v>840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4" t="s">
        <v>475</v>
      </c>
      <c r="B180" s="14" t="s">
        <v>477</v>
      </c>
      <c r="C180" s="14" t="s">
        <v>475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4" t="s">
        <v>842</v>
      </c>
      <c r="B181" s="14" t="s">
        <v>843</v>
      </c>
      <c r="C181" s="14" t="s">
        <v>844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4" t="s">
        <v>630</v>
      </c>
      <c r="B182" s="14" t="s">
        <v>845</v>
      </c>
      <c r="C182" s="14" t="s">
        <v>630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4" t="s">
        <v>482</v>
      </c>
      <c r="B183" s="14" t="s">
        <v>484</v>
      </c>
      <c r="C183" s="14" t="s">
        <v>846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4" t="s">
        <v>486</v>
      </c>
      <c r="B184" s="14" t="s">
        <v>487</v>
      </c>
      <c r="C184" s="14" t="s">
        <v>847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4" t="s">
        <v>489</v>
      </c>
      <c r="B185" s="14" t="s">
        <v>491</v>
      </c>
      <c r="C185" s="14" t="s">
        <v>489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4" t="s">
        <v>493</v>
      </c>
      <c r="B186" s="14" t="s">
        <v>494</v>
      </c>
      <c r="C186" s="14" t="s">
        <v>848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4" t="s">
        <v>849</v>
      </c>
      <c r="B187" s="14" t="s">
        <v>850</v>
      </c>
      <c r="C187" s="14" t="s">
        <v>851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4" t="s">
        <v>634</v>
      </c>
      <c r="B188" s="14" t="s">
        <v>852</v>
      </c>
      <c r="C188" s="14" t="s">
        <v>634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4" t="s">
        <v>853</v>
      </c>
      <c r="B189" s="14" t="s">
        <v>854</v>
      </c>
      <c r="C189" s="14" t="s">
        <v>853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4" t="s">
        <v>498</v>
      </c>
      <c r="B190" s="14" t="s">
        <v>499</v>
      </c>
      <c r="C190" s="14" t="s">
        <v>498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4" t="s">
        <v>521</v>
      </c>
      <c r="B191" s="14" t="s">
        <v>523</v>
      </c>
      <c r="C191" s="14" t="s">
        <v>856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4" t="s">
        <v>857</v>
      </c>
      <c r="B192" s="14" t="s">
        <v>858</v>
      </c>
      <c r="C192" s="14" t="s">
        <v>857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4" t="s">
        <v>859</v>
      </c>
      <c r="B193" s="14" t="s">
        <v>860</v>
      </c>
      <c r="C193" s="14" t="s">
        <v>859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4" t="s">
        <v>861</v>
      </c>
      <c r="B194" s="14" t="s">
        <v>862</v>
      </c>
      <c r="C194" s="14" t="s">
        <v>863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4" t="s">
        <v>525</v>
      </c>
      <c r="B195" s="14" t="s">
        <v>526</v>
      </c>
      <c r="C195" s="14" t="s">
        <v>864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4" t="s">
        <v>528</v>
      </c>
      <c r="B196" s="14" t="s">
        <v>529</v>
      </c>
      <c r="C196" s="14" t="s">
        <v>865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4" t="s">
        <v>866</v>
      </c>
      <c r="B197" s="14" t="s">
        <v>867</v>
      </c>
      <c r="C197" s="14" t="s">
        <v>868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4" t="s">
        <v>531</v>
      </c>
      <c r="B198" s="14" t="s">
        <v>532</v>
      </c>
      <c r="C198" s="14" t="s">
        <v>869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4" t="s">
        <v>870</v>
      </c>
      <c r="B199" s="14" t="s">
        <v>871</v>
      </c>
      <c r="C199" s="14" t="s">
        <v>872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4" t="s">
        <v>534</v>
      </c>
      <c r="B200" s="14" t="s">
        <v>537</v>
      </c>
      <c r="C200" s="14" t="s">
        <v>873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4" t="s">
        <v>539</v>
      </c>
      <c r="B201" s="14" t="s">
        <v>540</v>
      </c>
      <c r="C201" s="14" t="s">
        <v>874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4" t="s">
        <v>542</v>
      </c>
      <c r="B202" s="14" t="s">
        <v>875</v>
      </c>
      <c r="C202" s="14" t="s">
        <v>876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4" t="s">
        <v>877</v>
      </c>
      <c r="B203" s="14" t="s">
        <v>878</v>
      </c>
      <c r="C203" s="14" t="s">
        <v>879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4" t="s">
        <v>636</v>
      </c>
      <c r="B204" s="14" t="s">
        <v>544</v>
      </c>
      <c r="C204" s="14" t="s">
        <v>880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4" t="s">
        <v>546</v>
      </c>
      <c r="B205" s="14" t="s">
        <v>881</v>
      </c>
      <c r="C205" s="14" t="s">
        <v>882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4" t="s">
        <v>637</v>
      </c>
      <c r="B206" s="14" t="s">
        <v>549</v>
      </c>
      <c r="C206" s="14" t="s">
        <v>883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4" t="s">
        <v>552</v>
      </c>
      <c r="B207" s="14" t="s">
        <v>553</v>
      </c>
      <c r="C207" s="14" t="s">
        <v>884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4" t="s">
        <v>555</v>
      </c>
      <c r="B208" s="14" t="s">
        <v>556</v>
      </c>
      <c r="C208" s="14" t="s">
        <v>885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4" t="s">
        <v>558</v>
      </c>
      <c r="B209" s="14" t="s">
        <v>559</v>
      </c>
      <c r="C209" s="14" t="s">
        <v>752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9" t="s">
        <v>886</v>
      </c>
      <c r="B210" s="14" t="s">
        <v>887</v>
      </c>
      <c r="C210" s="14" t="s">
        <v>888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9" t="s">
        <v>889</v>
      </c>
      <c r="B211" s="14" t="s">
        <v>890</v>
      </c>
      <c r="C211" s="14" t="s">
        <v>891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9" t="s">
        <v>892</v>
      </c>
      <c r="B212" s="14" t="s">
        <v>893</v>
      </c>
      <c r="C212" s="14" t="s">
        <v>894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9" t="s">
        <v>895</v>
      </c>
      <c r="B213" s="14" t="s">
        <v>896</v>
      </c>
      <c r="C213" s="14" t="s">
        <v>897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9" t="s">
        <v>898</v>
      </c>
      <c r="B214" s="14" t="s">
        <v>899</v>
      </c>
      <c r="C214" s="14" t="s">
        <v>900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9" t="s">
        <v>901</v>
      </c>
      <c r="B215" s="14" t="s">
        <v>902</v>
      </c>
      <c r="C215" s="14" t="s">
        <v>903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9" t="s">
        <v>904</v>
      </c>
      <c r="B216" s="14" t="s">
        <v>905</v>
      </c>
      <c r="C216" s="14" t="s">
        <v>906</v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9" t="s">
        <v>907</v>
      </c>
      <c r="B217" s="14" t="s">
        <v>908</v>
      </c>
      <c r="C217" s="14" t="s">
        <v>909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9" t="s">
        <v>910</v>
      </c>
      <c r="B218" s="14" t="s">
        <v>911</v>
      </c>
      <c r="C218" s="14" t="s">
        <v>912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4" t="s">
        <v>913</v>
      </c>
      <c r="B219" s="14" t="s">
        <v>914</v>
      </c>
      <c r="C219" s="14" t="s">
        <v>915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9" t="s">
        <v>916</v>
      </c>
      <c r="B220" s="14" t="s">
        <v>917</v>
      </c>
      <c r="C220" s="14" t="s">
        <v>918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9" t="s">
        <v>919</v>
      </c>
      <c r="B221" s="14" t="s">
        <v>920</v>
      </c>
      <c r="C221" s="14" t="s">
        <v>921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9" t="s">
        <v>922</v>
      </c>
      <c r="B222" s="14" t="s">
        <v>923</v>
      </c>
      <c r="C222" s="14" t="s">
        <v>924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9" t="s">
        <v>925</v>
      </c>
      <c r="B223" s="14" t="s">
        <v>926</v>
      </c>
      <c r="C223" s="14" t="s">
        <v>927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9" t="s">
        <v>928</v>
      </c>
      <c r="B224" s="14" t="s">
        <v>929</v>
      </c>
      <c r="C224" s="14" t="s">
        <v>930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9" t="s">
        <v>931</v>
      </c>
      <c r="B225" s="14" t="s">
        <v>932</v>
      </c>
      <c r="C225" s="14" t="s">
        <v>933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9" t="s">
        <v>934</v>
      </c>
      <c r="B226" s="14" t="s">
        <v>935</v>
      </c>
      <c r="C226" s="14" t="s">
        <v>936</v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9" t="s">
        <v>937</v>
      </c>
      <c r="B227" s="14" t="s">
        <v>938</v>
      </c>
      <c r="C227" s="14" t="s">
        <v>939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9" t="s">
        <v>940</v>
      </c>
      <c r="B228" s="14" t="s">
        <v>941</v>
      </c>
      <c r="C228" s="14" t="s">
        <v>942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4"/>
      <c r="B229" s="14" t="s">
        <v>943</v>
      </c>
      <c r="C229" s="14" t="s">
        <v>944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9" t="s">
        <v>945</v>
      </c>
      <c r="B230" s="14" t="s">
        <v>946</v>
      </c>
      <c r="C230" s="14" t="s">
        <v>947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9" t="s">
        <v>948</v>
      </c>
      <c r="B231" s="14" t="s">
        <v>949</v>
      </c>
      <c r="C231" s="14" t="s">
        <v>948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4"/>
      <c r="B232" s="14" t="s">
        <v>950</v>
      </c>
      <c r="C232" s="14" t="s">
        <v>951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9" t="s">
        <v>952</v>
      </c>
      <c r="B233" s="14" t="s">
        <v>953</v>
      </c>
      <c r="C233" s="14" t="s">
        <v>952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9" t="s">
        <v>954</v>
      </c>
      <c r="B234" s="14" t="s">
        <v>955</v>
      </c>
      <c r="C234" s="14" t="s">
        <v>956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9" t="s">
        <v>957</v>
      </c>
      <c r="B235" s="14" t="s">
        <v>958</v>
      </c>
      <c r="C235" s="14" t="s">
        <v>959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9" t="s">
        <v>960</v>
      </c>
      <c r="B236" s="14" t="s">
        <v>961</v>
      </c>
      <c r="C236" s="14" t="s">
        <v>962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9" t="s">
        <v>963</v>
      </c>
      <c r="B237" s="14" t="s">
        <v>964</v>
      </c>
      <c r="C237" s="14" t="s">
        <v>965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4" t="s">
        <v>966</v>
      </c>
      <c r="B238" s="14" t="s">
        <v>967</v>
      </c>
      <c r="C238" s="14" t="s">
        <v>966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9" t="s">
        <v>968</v>
      </c>
      <c r="B239" s="14" t="s">
        <v>969</v>
      </c>
      <c r="C239" s="14" t="s">
        <v>970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4" t="s">
        <v>971</v>
      </c>
      <c r="B240" s="14" t="s">
        <v>972</v>
      </c>
      <c r="C240" s="14" t="s">
        <v>971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4" t="s">
        <v>973</v>
      </c>
      <c r="B241" s="14" t="s">
        <v>974</v>
      </c>
      <c r="C241" s="14" t="s">
        <v>973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4" t="s">
        <v>282</v>
      </c>
      <c r="B242" s="14" t="s">
        <v>281</v>
      </c>
      <c r="C242" s="14" t="s">
        <v>282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4" t="s">
        <v>975</v>
      </c>
      <c r="B243" s="14" t="s">
        <v>828</v>
      </c>
      <c r="C243" s="14" t="s">
        <v>975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4" t="s">
        <v>976</v>
      </c>
      <c r="B244" s="14" t="s">
        <v>977</v>
      </c>
      <c r="C244" s="14" t="s">
        <v>976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4" t="s">
        <v>978</v>
      </c>
      <c r="B245" s="14" t="s">
        <v>979</v>
      </c>
      <c r="C245" s="14" t="s">
        <v>978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4" t="s">
        <v>980</v>
      </c>
      <c r="B246" s="14" t="s">
        <v>981</v>
      </c>
      <c r="C246" s="14" t="s">
        <v>980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4" t="s">
        <v>982</v>
      </c>
      <c r="B247" s="14" t="s">
        <v>983</v>
      </c>
      <c r="C247" s="14" t="s">
        <v>982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4" t="s">
        <v>984</v>
      </c>
      <c r="B248" s="14" t="s">
        <v>985</v>
      </c>
      <c r="C248" s="14" t="s">
        <v>984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4" t="s">
        <v>986</v>
      </c>
      <c r="B249" s="14" t="s">
        <v>987</v>
      </c>
      <c r="C249" s="14" t="s">
        <v>986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4" t="s">
        <v>988</v>
      </c>
      <c r="B250" s="14" t="s">
        <v>989</v>
      </c>
      <c r="C250" s="14" t="s">
        <v>988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4" t="s">
        <v>990</v>
      </c>
      <c r="B251" s="14" t="s">
        <v>991</v>
      </c>
      <c r="C251" s="14" t="s">
        <v>990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4" t="s">
        <v>992</v>
      </c>
      <c r="B252" s="14" t="s">
        <v>993</v>
      </c>
      <c r="C252" s="14" t="s">
        <v>992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4" t="s">
        <v>994</v>
      </c>
      <c r="B253" s="14" t="s">
        <v>995</v>
      </c>
      <c r="C253" s="14" t="s">
        <v>994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4" t="s">
        <v>996</v>
      </c>
      <c r="B254" s="14" t="s">
        <v>997</v>
      </c>
      <c r="C254" s="14" t="s">
        <v>996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4" t="s">
        <v>998</v>
      </c>
      <c r="B255" s="14" t="s">
        <v>999</v>
      </c>
      <c r="C255" s="14" t="s">
        <v>998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4" t="s">
        <v>1000</v>
      </c>
      <c r="B256" s="14" t="s">
        <v>1001</v>
      </c>
      <c r="C256" s="14" t="s">
        <v>1000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4" t="s">
        <v>1002</v>
      </c>
      <c r="B257" s="14" t="s">
        <v>1003</v>
      </c>
      <c r="C257" s="14" t="s">
        <v>1002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4" t="s">
        <v>1004</v>
      </c>
      <c r="B258" s="14" t="s">
        <v>1005</v>
      </c>
      <c r="C258" s="14" t="s">
        <v>1004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4" t="s">
        <v>1006</v>
      </c>
      <c r="B259" s="14" t="s">
        <v>1007</v>
      </c>
      <c r="C259" s="14" t="s">
        <v>1006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4" t="s">
        <v>1008</v>
      </c>
      <c r="B260" s="14" t="s">
        <v>1009</v>
      </c>
      <c r="C260" s="14" t="s">
        <v>1008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4" t="s">
        <v>1010</v>
      </c>
      <c r="B261" s="14" t="s">
        <v>1011</v>
      </c>
      <c r="C261" s="14" t="s">
        <v>1010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4" t="s">
        <v>768</v>
      </c>
      <c r="B262" s="14" t="s">
        <v>769</v>
      </c>
      <c r="C262" s="14" t="s">
        <v>768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4" t="s">
        <v>322</v>
      </c>
      <c r="B263" s="14" t="s">
        <v>1012</v>
      </c>
      <c r="C263" s="14" t="s">
        <v>322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4" t="s">
        <v>1013</v>
      </c>
      <c r="B264" s="14" t="s">
        <v>1014</v>
      </c>
      <c r="C264" s="14" t="s">
        <v>1013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4" t="s">
        <v>1015</v>
      </c>
      <c r="B265" s="14" t="s">
        <v>1016</v>
      </c>
      <c r="C265" s="14" t="s">
        <v>1015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4" t="s">
        <v>1017</v>
      </c>
      <c r="B266" s="14" t="s">
        <v>1018</v>
      </c>
      <c r="C266" s="14" t="s">
        <v>1017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4" t="s">
        <v>1019</v>
      </c>
      <c r="B267" s="14" t="s">
        <v>1020</v>
      </c>
      <c r="C267" s="14" t="s">
        <v>1019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4" t="s">
        <v>1021</v>
      </c>
      <c r="B268" s="14" t="s">
        <v>1022</v>
      </c>
      <c r="C268" s="14" t="s">
        <v>1021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4" t="s">
        <v>1023</v>
      </c>
      <c r="B269" s="14" t="s">
        <v>1024</v>
      </c>
      <c r="C269" s="14" t="s">
        <v>1025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4" t="s">
        <v>1026</v>
      </c>
      <c r="B270" s="14" t="s">
        <v>1027</v>
      </c>
      <c r="C270" s="19" t="s">
        <v>1028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4" t="s">
        <v>1029</v>
      </c>
      <c r="B271" s="14" t="s">
        <v>1030</v>
      </c>
      <c r="C271" s="5" t="s">
        <v>1031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4" t="s">
        <v>1032</v>
      </c>
      <c r="B272" s="14" t="s">
        <v>1033</v>
      </c>
      <c r="C272" s="19" t="s">
        <v>1034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4" t="s">
        <v>1035</v>
      </c>
      <c r="B273" s="14" t="s">
        <v>1036</v>
      </c>
      <c r="C273" s="19" t="s">
        <v>1037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4" t="s">
        <v>1038</v>
      </c>
      <c r="B274" s="14" t="s">
        <v>1039</v>
      </c>
      <c r="C274" s="19" t="s">
        <v>1040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4" t="s">
        <v>1041</v>
      </c>
      <c r="B275" s="14" t="s">
        <v>1042</v>
      </c>
      <c r="C275" s="5" t="s">
        <v>1043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4" t="s">
        <v>1044</v>
      </c>
      <c r="B276" s="14" t="s">
        <v>1045</v>
      </c>
      <c r="C276" s="19" t="s">
        <v>1046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9" t="s">
        <v>1047</v>
      </c>
      <c r="B277" s="14" t="s">
        <v>1048</v>
      </c>
      <c r="C277" s="14" t="s">
        <v>1049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4" t="s">
        <v>1050</v>
      </c>
      <c r="B278" s="14" t="s">
        <v>1051</v>
      </c>
      <c r="C278" s="14" t="s">
        <v>1050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4" t="s">
        <v>1052</v>
      </c>
      <c r="B279" s="14" t="s">
        <v>1053</v>
      </c>
      <c r="C279" s="14" t="s">
        <v>1052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4" t="s">
        <v>1054</v>
      </c>
      <c r="B280" s="14" t="s">
        <v>1055</v>
      </c>
      <c r="C280" s="19" t="s">
        <v>1056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4" t="s">
        <v>1057</v>
      </c>
      <c r="B281" s="14" t="s">
        <v>1058</v>
      </c>
      <c r="C281" s="14" t="s">
        <v>1059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4" t="s">
        <v>1060</v>
      </c>
      <c r="B282" s="14" t="s">
        <v>1061</v>
      </c>
      <c r="C282" s="14" t="s">
        <v>1062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4" t="s">
        <v>1063</v>
      </c>
      <c r="B283" s="14" t="s">
        <v>1064</v>
      </c>
      <c r="C283" s="14" t="s">
        <v>1065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4" t="s">
        <v>1066</v>
      </c>
      <c r="B284" s="14" t="s">
        <v>1067</v>
      </c>
      <c r="C284" s="14" t="s">
        <v>1066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4" t="s">
        <v>1068</v>
      </c>
      <c r="B285" s="14" t="s">
        <v>1069</v>
      </c>
      <c r="C285" s="14" t="s">
        <v>1070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39" t="s">
        <v>1071</v>
      </c>
      <c r="B286" s="14" t="s">
        <v>341</v>
      </c>
      <c r="C286" s="39" t="s">
        <v>1072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40" t="s">
        <v>1073</v>
      </c>
      <c r="B287" s="40" t="s">
        <v>1074</v>
      </c>
      <c r="C287" s="40" t="s">
        <v>1075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40" t="s">
        <v>1076</v>
      </c>
      <c r="B288" s="40" t="s">
        <v>1077</v>
      </c>
      <c r="C288" s="40" t="s">
        <v>1078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40" t="s">
        <v>1079</v>
      </c>
      <c r="B289" s="40" t="s">
        <v>1051</v>
      </c>
      <c r="C289" s="14" t="s">
        <v>1050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40" t="s">
        <v>1080</v>
      </c>
      <c r="B290" s="40" t="s">
        <v>1051</v>
      </c>
      <c r="C290" s="14" t="s">
        <v>1050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40" t="s">
        <v>1081</v>
      </c>
      <c r="B291" s="40" t="s">
        <v>1082</v>
      </c>
      <c r="C291" s="40" t="s">
        <v>1083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40" t="s">
        <v>903</v>
      </c>
      <c r="B292" s="40" t="s">
        <v>902</v>
      </c>
      <c r="C292" s="40" t="s">
        <v>903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40" t="s">
        <v>1084</v>
      </c>
      <c r="B293" s="40" t="s">
        <v>1085</v>
      </c>
      <c r="C293" s="40" t="s">
        <v>1086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40" t="s">
        <v>1087</v>
      </c>
      <c r="B294" s="40" t="s">
        <v>1088</v>
      </c>
      <c r="C294" s="40" t="s">
        <v>1089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40" t="s">
        <v>1090</v>
      </c>
      <c r="B295" s="40" t="s">
        <v>1091</v>
      </c>
      <c r="C295" s="40" t="s">
        <v>1092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40" t="s">
        <v>1093</v>
      </c>
      <c r="B296" s="40" t="s">
        <v>1094</v>
      </c>
      <c r="C296" s="40" t="s">
        <v>1095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40" t="s">
        <v>1096</v>
      </c>
      <c r="B297" s="40" t="s">
        <v>1097</v>
      </c>
      <c r="C297" s="40" t="s">
        <v>1098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40" t="s">
        <v>1099</v>
      </c>
      <c r="B298" s="40" t="s">
        <v>1100</v>
      </c>
      <c r="C298" s="40" t="s">
        <v>520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40" t="s">
        <v>1101</v>
      </c>
      <c r="B299" s="40" t="s">
        <v>1102</v>
      </c>
      <c r="C299" s="40" t="s">
        <v>1103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40" t="s">
        <v>1104</v>
      </c>
      <c r="B300" s="40" t="s">
        <v>1105</v>
      </c>
      <c r="C300" s="40" t="s">
        <v>1106</v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40" t="s">
        <v>1107</v>
      </c>
      <c r="B301" s="40" t="s">
        <v>1108</v>
      </c>
      <c r="C301" s="40" t="s">
        <v>1109</v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40" t="s">
        <v>1110</v>
      </c>
      <c r="B302" s="40" t="s">
        <v>1111</v>
      </c>
      <c r="C302" s="40" t="s">
        <v>1112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40" t="s">
        <v>1113</v>
      </c>
      <c r="B303" s="40" t="s">
        <v>1114</v>
      </c>
      <c r="C303" s="40" t="s">
        <v>1115</v>
      </c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40" t="s">
        <v>1116</v>
      </c>
      <c r="B304" s="40" t="s">
        <v>1117</v>
      </c>
      <c r="C304" s="40" t="s">
        <v>1118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40" t="s">
        <v>176</v>
      </c>
      <c r="B305" s="40" t="s">
        <v>1119</v>
      </c>
      <c r="C305" s="40" t="s">
        <v>1120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40" t="s">
        <v>1121</v>
      </c>
      <c r="B306" s="40" t="s">
        <v>1122</v>
      </c>
      <c r="C306" s="40" t="s">
        <v>1123</v>
      </c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40" t="s">
        <v>1124</v>
      </c>
      <c r="B307" s="40" t="s">
        <v>1125</v>
      </c>
      <c r="C307" s="40" t="s">
        <v>1126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40" t="s">
        <v>1127</v>
      </c>
      <c r="B308" s="40" t="s">
        <v>1128</v>
      </c>
      <c r="C308" s="40" t="s">
        <v>1129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9" t="s">
        <v>927</v>
      </c>
      <c r="B309" s="14" t="s">
        <v>926</v>
      </c>
      <c r="C309" s="14" t="s">
        <v>927</v>
      </c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4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3"/>
      <c r="T1" s="15"/>
      <c r="U1" s="15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7" t="s">
        <v>77</v>
      </c>
      <c r="B2" s="7" t="s">
        <v>80</v>
      </c>
      <c r="S2" s="13"/>
      <c r="T2" s="15"/>
      <c r="U2" s="15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B3" s="17" t="s">
        <v>26</v>
      </c>
      <c r="D3" s="17" t="s">
        <v>39</v>
      </c>
      <c r="F3" s="17" t="s">
        <v>49</v>
      </c>
      <c r="H3" s="17" t="s">
        <v>60</v>
      </c>
      <c r="J3" s="17" t="s">
        <v>68</v>
      </c>
      <c r="L3" s="17" t="s">
        <v>75</v>
      </c>
      <c r="N3" s="17" t="s">
        <v>83</v>
      </c>
      <c r="P3" s="17" t="s">
        <v>93</v>
      </c>
      <c r="R3" s="17" t="s">
        <v>103</v>
      </c>
      <c r="T3" s="18" t="s">
        <v>114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B4" s="7" t="s">
        <v>129</v>
      </c>
      <c r="C4" s="7" t="s">
        <v>131</v>
      </c>
      <c r="D4" s="7" t="s">
        <v>129</v>
      </c>
      <c r="E4" s="7" t="s">
        <v>131</v>
      </c>
      <c r="F4" s="7" t="s">
        <v>129</v>
      </c>
      <c r="G4" s="7" t="s">
        <v>131</v>
      </c>
      <c r="H4" s="7" t="s">
        <v>129</v>
      </c>
      <c r="I4" s="7" t="s">
        <v>131</v>
      </c>
      <c r="J4" s="7" t="s">
        <v>129</v>
      </c>
      <c r="K4" s="7" t="s">
        <v>131</v>
      </c>
      <c r="L4" s="7" t="s">
        <v>129</v>
      </c>
      <c r="M4" s="7" t="s">
        <v>131</v>
      </c>
      <c r="N4" s="7" t="s">
        <v>129</v>
      </c>
      <c r="O4" s="7" t="s">
        <v>131</v>
      </c>
      <c r="P4" s="7" t="s">
        <v>129</v>
      </c>
      <c r="Q4" s="7" t="s">
        <v>131</v>
      </c>
      <c r="R4" s="7" t="s">
        <v>129</v>
      </c>
      <c r="S4" s="7" t="s">
        <v>131</v>
      </c>
      <c r="T4" s="18" t="s">
        <v>129</v>
      </c>
      <c r="U4" s="18" t="s">
        <v>131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20" t="s">
        <v>22</v>
      </c>
      <c r="B5" s="20" t="s">
        <v>159</v>
      </c>
      <c r="C5" s="20" t="s">
        <v>159</v>
      </c>
      <c r="D5" s="20">
        <v>1.0</v>
      </c>
      <c r="E5" s="20">
        <v>2720.0</v>
      </c>
      <c r="F5" s="20" t="s">
        <v>159</v>
      </c>
      <c r="G5" s="20" t="s">
        <v>159</v>
      </c>
      <c r="H5" s="20" t="s">
        <v>159</v>
      </c>
      <c r="I5" s="20" t="s">
        <v>159</v>
      </c>
      <c r="J5" s="20" t="s">
        <v>159</v>
      </c>
      <c r="K5" s="20" t="s">
        <v>159</v>
      </c>
      <c r="L5" s="20" t="s">
        <v>159</v>
      </c>
      <c r="M5" s="20" t="s">
        <v>159</v>
      </c>
      <c r="N5" s="20" t="s">
        <v>159</v>
      </c>
      <c r="O5" s="20" t="s">
        <v>159</v>
      </c>
      <c r="P5" s="20">
        <v>1.0</v>
      </c>
      <c r="Q5" s="20">
        <v>376.0</v>
      </c>
      <c r="R5" s="20" t="s">
        <v>159</v>
      </c>
      <c r="S5" s="20"/>
      <c r="T5" s="15">
        <f t="shared" ref="T5:U5" si="1">B5+D5+F5+H5+J5+L5+N5+P5+R5</f>
        <v>2</v>
      </c>
      <c r="U5" s="15">
        <f t="shared" si="1"/>
        <v>3096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21" t="s">
        <v>22</v>
      </c>
      <c r="B6" s="22"/>
      <c r="C6" s="22"/>
      <c r="D6" s="21">
        <v>1.0</v>
      </c>
      <c r="E6" s="21">
        <v>2720.0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1">
        <v>1.0</v>
      </c>
      <c r="Q6" s="21">
        <v>376.0</v>
      </c>
      <c r="R6" s="22"/>
      <c r="S6" s="22"/>
      <c r="T6" s="15">
        <f t="shared" ref="T6:U6" si="2">B6+D6+F6+H6+J6+L6+N6+P6+R6</f>
        <v>2</v>
      </c>
      <c r="U6" s="15">
        <f t="shared" si="2"/>
        <v>3096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21" t="s">
        <v>34</v>
      </c>
      <c r="B7" s="22"/>
      <c r="C7" s="22"/>
      <c r="D7" s="22"/>
      <c r="E7" s="22"/>
      <c r="F7" s="21">
        <v>4.0</v>
      </c>
      <c r="G7" s="21">
        <v>5488.0</v>
      </c>
      <c r="H7" s="22"/>
      <c r="I7" s="22"/>
      <c r="J7" s="21">
        <v>3.0</v>
      </c>
      <c r="K7" s="21">
        <v>14252.0</v>
      </c>
      <c r="L7" s="22"/>
      <c r="M7" s="22"/>
      <c r="N7" s="22"/>
      <c r="O7" s="22"/>
      <c r="P7" s="22"/>
      <c r="Q7" s="22"/>
      <c r="R7" s="22"/>
      <c r="S7" s="22"/>
      <c r="T7" s="15">
        <f t="shared" ref="T7:U7" si="3">B7+D7+F7+H7+J7+L7+N7+P7+R7</f>
        <v>7</v>
      </c>
      <c r="U7" s="15">
        <f t="shared" si="3"/>
        <v>19740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>
      <c r="A8" s="21" t="s">
        <v>61</v>
      </c>
      <c r="B8" s="22"/>
      <c r="C8" s="22"/>
      <c r="D8" s="22"/>
      <c r="E8" s="22"/>
      <c r="F8" s="22"/>
      <c r="G8" s="22"/>
      <c r="H8" s="22"/>
      <c r="I8" s="22"/>
      <c r="J8" s="21">
        <v>6.0</v>
      </c>
      <c r="K8" s="21">
        <v>138810.0</v>
      </c>
      <c r="L8" s="22"/>
      <c r="M8" s="22"/>
      <c r="N8" s="22"/>
      <c r="O8" s="22"/>
      <c r="P8" s="22"/>
      <c r="Q8" s="22"/>
      <c r="R8" s="22"/>
      <c r="S8" s="22"/>
      <c r="T8" s="15">
        <f t="shared" ref="T8:U8" si="4">B8+D8+F8+H8+J8+L8+N8+P8+R8</f>
        <v>6</v>
      </c>
      <c r="U8" s="15">
        <f t="shared" si="4"/>
        <v>138810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>
      <c r="A9" s="21" t="s">
        <v>74</v>
      </c>
      <c r="B9" s="22"/>
      <c r="C9" s="22"/>
      <c r="D9" s="21">
        <v>1.0</v>
      </c>
      <c r="E9" s="21">
        <v>3581.0</v>
      </c>
      <c r="F9" s="22"/>
      <c r="G9" s="22"/>
      <c r="H9" s="22"/>
      <c r="I9" s="22"/>
      <c r="J9" s="21">
        <v>6.0</v>
      </c>
      <c r="K9" s="21">
        <v>192973.0</v>
      </c>
      <c r="L9" s="22"/>
      <c r="M9" s="22"/>
      <c r="N9" s="22"/>
      <c r="O9" s="22"/>
      <c r="P9" s="22"/>
      <c r="Q9" s="22"/>
      <c r="R9" s="22"/>
      <c r="S9" s="22"/>
      <c r="T9" s="15">
        <f t="shared" ref="T9:U9" si="5">B9+D9+F9+H9+J9+L9+N9+P9+R9</f>
        <v>7</v>
      </c>
      <c r="U9" s="15">
        <f t="shared" si="5"/>
        <v>196554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>
      <c r="A10" s="21" t="s">
        <v>29</v>
      </c>
      <c r="B10" s="22"/>
      <c r="C10" s="22"/>
      <c r="D10" s="22"/>
      <c r="E10" s="22"/>
      <c r="F10" s="21">
        <v>1.0</v>
      </c>
      <c r="G10" s="21">
        <v>10758.0</v>
      </c>
      <c r="H10" s="22"/>
      <c r="I10" s="22"/>
      <c r="J10" s="22"/>
      <c r="K10" s="22"/>
      <c r="L10" s="22"/>
      <c r="M10" s="22"/>
      <c r="N10" s="22"/>
      <c r="O10" s="22"/>
      <c r="P10" s="21">
        <v>1.0</v>
      </c>
      <c r="Q10" s="21">
        <v>10244.0</v>
      </c>
      <c r="R10" s="22"/>
      <c r="S10" s="22"/>
      <c r="T10" s="15">
        <f t="shared" ref="T10:U10" si="6">B10+D10+F10+H10+J10+L10+N10+P10+R10</f>
        <v>2</v>
      </c>
      <c r="U10" s="15">
        <f t="shared" si="6"/>
        <v>21002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>
      <c r="A11" s="21" t="s">
        <v>38</v>
      </c>
      <c r="B11" s="22"/>
      <c r="C11" s="22"/>
      <c r="D11" s="21">
        <v>3.0</v>
      </c>
      <c r="E11" s="21">
        <v>9211.0</v>
      </c>
      <c r="F11" s="22"/>
      <c r="G11" s="22"/>
      <c r="H11" s="22"/>
      <c r="I11" s="22"/>
      <c r="J11" s="22"/>
      <c r="K11" s="22"/>
      <c r="L11" s="21">
        <v>1.0</v>
      </c>
      <c r="M11" s="21">
        <v>11980.0</v>
      </c>
      <c r="N11" s="21">
        <v>2.0</v>
      </c>
      <c r="O11" s="21">
        <v>4810.0</v>
      </c>
      <c r="P11" s="21">
        <v>6.0</v>
      </c>
      <c r="Q11" s="21">
        <v>22540.0</v>
      </c>
      <c r="R11" s="22"/>
      <c r="S11" s="22"/>
      <c r="T11" s="15">
        <f t="shared" ref="T11:U11" si="7">B11+D11+F11+H11+J11+L11+N11+P11+R11</f>
        <v>12</v>
      </c>
      <c r="U11" s="15">
        <f t="shared" si="7"/>
        <v>48541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>
      <c r="A12" s="21" t="s">
        <v>43</v>
      </c>
      <c r="B12" s="21">
        <v>2.0</v>
      </c>
      <c r="C12" s="21">
        <v>17989.0</v>
      </c>
      <c r="D12" s="21">
        <v>3.0</v>
      </c>
      <c r="E12" s="21">
        <v>9793.0</v>
      </c>
      <c r="F12" s="21">
        <v>5.0</v>
      </c>
      <c r="G12" s="21">
        <v>17846.0</v>
      </c>
      <c r="H12" s="22"/>
      <c r="I12" s="22"/>
      <c r="J12" s="21">
        <v>6.0</v>
      </c>
      <c r="K12" s="21">
        <v>181148.0</v>
      </c>
      <c r="L12" s="22"/>
      <c r="M12" s="22"/>
      <c r="N12" s="22"/>
      <c r="O12" s="22"/>
      <c r="P12" s="22"/>
      <c r="Q12" s="22"/>
      <c r="R12" s="22"/>
      <c r="S12" s="22"/>
      <c r="T12" s="15">
        <f t="shared" ref="T12:U12" si="8">B12+D12+F12+H12+J12+L12+N12+P12+R12</f>
        <v>16</v>
      </c>
      <c r="U12" s="15">
        <f t="shared" si="8"/>
        <v>226776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>
      <c r="A13" s="21" t="s">
        <v>48</v>
      </c>
      <c r="B13" s="21">
        <v>4.0</v>
      </c>
      <c r="C13" s="21">
        <v>13497.0</v>
      </c>
      <c r="D13" s="21">
        <v>2.0</v>
      </c>
      <c r="E13" s="21">
        <v>5930.0</v>
      </c>
      <c r="F13" s="22"/>
      <c r="G13" s="22"/>
      <c r="H13" s="22"/>
      <c r="I13" s="22"/>
      <c r="J13" s="21">
        <v>11.0</v>
      </c>
      <c r="K13" s="21">
        <v>256876.0</v>
      </c>
      <c r="L13" s="21">
        <v>1.0</v>
      </c>
      <c r="M13" s="21">
        <v>11979.0</v>
      </c>
      <c r="N13" s="21">
        <v>12.0</v>
      </c>
      <c r="O13" s="21">
        <v>16335.0</v>
      </c>
      <c r="P13" s="21">
        <v>7.0</v>
      </c>
      <c r="Q13" s="21">
        <v>24118.0</v>
      </c>
      <c r="R13" s="22"/>
      <c r="S13" s="22"/>
      <c r="T13" s="15">
        <f t="shared" ref="T13:U13" si="9">B13+D13+F13+H13+J13+L13+N13+P13+R13</f>
        <v>37</v>
      </c>
      <c r="U13" s="15">
        <f t="shared" si="9"/>
        <v>328735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>
      <c r="A14" s="21" t="s">
        <v>54</v>
      </c>
      <c r="B14" s="22"/>
      <c r="C14" s="22"/>
      <c r="D14" s="21">
        <v>67.0</v>
      </c>
      <c r="E14" s="21">
        <v>278328.0</v>
      </c>
      <c r="F14" s="21">
        <v>16.0</v>
      </c>
      <c r="G14" s="21">
        <v>41781.0</v>
      </c>
      <c r="H14" s="22"/>
      <c r="I14" s="22"/>
      <c r="J14" s="22"/>
      <c r="K14" s="22"/>
      <c r="L14" s="22"/>
      <c r="M14" s="22"/>
      <c r="N14" s="21">
        <v>10.0</v>
      </c>
      <c r="O14" s="21">
        <v>57210.0</v>
      </c>
      <c r="P14" s="22"/>
      <c r="Q14" s="22"/>
      <c r="R14" s="21">
        <v>8.0</v>
      </c>
      <c r="S14" s="21">
        <v>2389035.0</v>
      </c>
      <c r="T14" s="15">
        <f t="shared" ref="T14:U14" si="10">B14+D14+F14+H14+J14+L14+N14+P14+R14</f>
        <v>101</v>
      </c>
      <c r="U14" s="15">
        <f t="shared" si="10"/>
        <v>2766354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21" t="s">
        <v>67</v>
      </c>
      <c r="B15" s="21">
        <v>10.0</v>
      </c>
      <c r="C15" s="21">
        <v>568178.0</v>
      </c>
      <c r="D15" s="21">
        <v>28.0</v>
      </c>
      <c r="E15" s="21">
        <v>4630.0</v>
      </c>
      <c r="F15" s="21">
        <v>26.0</v>
      </c>
      <c r="G15" s="21">
        <v>289104.0</v>
      </c>
      <c r="H15" s="21">
        <v>1.0</v>
      </c>
      <c r="I15" s="21">
        <v>544.0</v>
      </c>
      <c r="J15" s="21">
        <v>1.0</v>
      </c>
      <c r="K15" s="21">
        <v>2752.0</v>
      </c>
      <c r="L15" s="22"/>
      <c r="M15" s="22"/>
      <c r="N15" s="21">
        <v>4.0</v>
      </c>
      <c r="O15" s="21">
        <v>116973.0</v>
      </c>
      <c r="P15" s="21">
        <v>2.0</v>
      </c>
      <c r="Q15" s="21">
        <v>17591.0</v>
      </c>
      <c r="R15" s="21">
        <v>22.0</v>
      </c>
      <c r="S15" s="21">
        <v>2179257.0</v>
      </c>
      <c r="T15" s="15">
        <f t="shared" ref="T15:U15" si="11">B15+D15+F15+H15+J15+L15+N15+P15+R15</f>
        <v>94</v>
      </c>
      <c r="U15" s="15">
        <f t="shared" si="11"/>
        <v>3179029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21" t="s">
        <v>72</v>
      </c>
      <c r="B16" s="22"/>
      <c r="C16" s="22"/>
      <c r="D16" s="21">
        <v>3.0</v>
      </c>
      <c r="E16" s="21">
        <v>32618.0</v>
      </c>
      <c r="F16" s="21">
        <v>27.0</v>
      </c>
      <c r="G16" s="21">
        <v>198528.0</v>
      </c>
      <c r="H16" s="22"/>
      <c r="I16" s="22"/>
      <c r="J16" s="22"/>
      <c r="K16" s="22"/>
      <c r="L16" s="21">
        <v>1.0</v>
      </c>
      <c r="M16" s="21">
        <v>24560.0</v>
      </c>
      <c r="N16" s="21">
        <v>4.0</v>
      </c>
      <c r="O16" s="21">
        <v>168900.0</v>
      </c>
      <c r="P16" s="22"/>
      <c r="Q16" s="22"/>
      <c r="R16" s="22"/>
      <c r="S16" s="22"/>
      <c r="T16" s="15">
        <f t="shared" ref="T16:U16" si="12">B16+D16+F16+H16+J16+L16+N16+P16+R16</f>
        <v>35</v>
      </c>
      <c r="U16" s="15">
        <f t="shared" si="12"/>
        <v>424606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21" t="s">
        <v>79</v>
      </c>
      <c r="B17" s="21">
        <v>15.0</v>
      </c>
      <c r="C17" s="21">
        <v>311386.0</v>
      </c>
      <c r="D17" s="21">
        <v>23.0</v>
      </c>
      <c r="E17" s="21">
        <v>122504.0</v>
      </c>
      <c r="F17" s="21">
        <v>31.0</v>
      </c>
      <c r="G17" s="21">
        <v>194203.0</v>
      </c>
      <c r="H17" s="21">
        <v>4.0</v>
      </c>
      <c r="I17" s="21">
        <v>1241.0</v>
      </c>
      <c r="J17" s="21">
        <v>83.0</v>
      </c>
      <c r="K17" s="21">
        <v>634206.0</v>
      </c>
      <c r="L17" s="21">
        <v>4.0</v>
      </c>
      <c r="M17" s="21">
        <v>87006.0</v>
      </c>
      <c r="N17" s="21">
        <v>9.0</v>
      </c>
      <c r="O17" s="21">
        <v>149777.0</v>
      </c>
      <c r="P17" s="21">
        <v>14.0</v>
      </c>
      <c r="Q17" s="21">
        <v>98579.0</v>
      </c>
      <c r="R17" s="21">
        <v>7.0</v>
      </c>
      <c r="S17" s="21">
        <v>1174908.0</v>
      </c>
      <c r="T17" s="15">
        <f t="shared" ref="T17:U17" si="13">B17+D17+F17+H17+J17+L17+N17+P17+R17</f>
        <v>190</v>
      </c>
      <c r="U17" s="15">
        <f t="shared" si="13"/>
        <v>2773810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21" t="s">
        <v>82</v>
      </c>
      <c r="B18" s="21">
        <v>17.0</v>
      </c>
      <c r="C18" s="21">
        <v>348388.0</v>
      </c>
      <c r="D18" s="22"/>
      <c r="E18" s="22"/>
      <c r="F18" s="21">
        <v>39.0</v>
      </c>
      <c r="G18" s="21">
        <v>308221.0</v>
      </c>
      <c r="H18" s="22"/>
      <c r="I18" s="22"/>
      <c r="J18" s="21">
        <v>23.0</v>
      </c>
      <c r="K18" s="21">
        <v>200643.0</v>
      </c>
      <c r="L18" s="21">
        <v>1.0</v>
      </c>
      <c r="M18" s="21">
        <v>21.0</v>
      </c>
      <c r="N18" s="21">
        <v>3.0</v>
      </c>
      <c r="O18" s="21">
        <v>74788.0</v>
      </c>
      <c r="P18" s="21">
        <v>7.0</v>
      </c>
      <c r="Q18" s="21">
        <v>26411.0</v>
      </c>
      <c r="R18" s="21">
        <v>14.0</v>
      </c>
      <c r="S18" s="21">
        <v>2088324.0</v>
      </c>
      <c r="T18" s="15">
        <f t="shared" ref="T18:U18" si="14">B18+D18+F18+H18+J18+L18+N18+P18+R18</f>
        <v>104</v>
      </c>
      <c r="U18" s="15">
        <f t="shared" si="14"/>
        <v>3046796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21" t="s">
        <v>101</v>
      </c>
      <c r="B19" s="21">
        <v>2.0</v>
      </c>
      <c r="C19" s="21">
        <v>6715.0</v>
      </c>
      <c r="D19" s="22"/>
      <c r="E19" s="22"/>
      <c r="F19" s="22"/>
      <c r="G19" s="22"/>
      <c r="H19" s="21">
        <v>1.0</v>
      </c>
      <c r="I19" s="21">
        <v>272.0</v>
      </c>
      <c r="J19" s="21">
        <v>2.0</v>
      </c>
      <c r="K19" s="21">
        <v>35827.0</v>
      </c>
      <c r="L19" s="21">
        <v>1.0</v>
      </c>
      <c r="M19" s="21">
        <v>12486.0</v>
      </c>
      <c r="N19" s="22"/>
      <c r="O19" s="22"/>
      <c r="P19" s="21">
        <v>3.0</v>
      </c>
      <c r="Q19" s="21">
        <v>4270.0</v>
      </c>
      <c r="R19" s="21">
        <v>3.0</v>
      </c>
      <c r="S19" s="21">
        <v>664794.0</v>
      </c>
      <c r="T19" s="15">
        <f t="shared" ref="T19:U19" si="15">B19+D19+F19+H19+J19+L19+N19+P19+R19</f>
        <v>12</v>
      </c>
      <c r="U19" s="15">
        <f t="shared" si="15"/>
        <v>724364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21" t="s">
        <v>107</v>
      </c>
      <c r="B20" s="21">
        <v>9.0</v>
      </c>
      <c r="C20" s="21">
        <v>27152.0</v>
      </c>
      <c r="D20" s="22"/>
      <c r="E20" s="22"/>
      <c r="F20" s="22"/>
      <c r="G20" s="22"/>
      <c r="H20" s="22"/>
      <c r="I20" s="22"/>
      <c r="J20" s="21">
        <v>4.0</v>
      </c>
      <c r="K20" s="21">
        <v>69388.0</v>
      </c>
      <c r="L20" s="22"/>
      <c r="M20" s="22"/>
      <c r="N20" s="21">
        <v>2.0</v>
      </c>
      <c r="O20" s="21">
        <v>5158.0</v>
      </c>
      <c r="P20" s="22"/>
      <c r="Q20" s="22"/>
      <c r="R20" s="21">
        <v>3.0</v>
      </c>
      <c r="S20" s="21">
        <v>7028.0</v>
      </c>
      <c r="T20" s="15">
        <f t="shared" ref="T20:U20" si="16">B20+D20+F20+H20+J20+L20+N20+P20+R20</f>
        <v>18</v>
      </c>
      <c r="U20" s="15">
        <f t="shared" si="16"/>
        <v>108726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21" t="s">
        <v>119</v>
      </c>
      <c r="B21" s="22"/>
      <c r="C21" s="22"/>
      <c r="D21" s="22"/>
      <c r="E21" s="22"/>
      <c r="F21" s="22"/>
      <c r="G21" s="22"/>
      <c r="H21" s="22"/>
      <c r="I21" s="22"/>
      <c r="J21" s="21">
        <v>4.0</v>
      </c>
      <c r="K21" s="21">
        <v>114884.0</v>
      </c>
      <c r="L21" s="22"/>
      <c r="M21" s="22"/>
      <c r="N21" s="21">
        <v>1.0</v>
      </c>
      <c r="O21" s="21">
        <v>2773.0</v>
      </c>
      <c r="P21" s="22"/>
      <c r="Q21" s="22"/>
      <c r="R21" s="21">
        <v>1.0</v>
      </c>
      <c r="S21" s="21">
        <v>5928.0</v>
      </c>
      <c r="T21" s="15">
        <f t="shared" ref="T21:U21" si="17">B21+D21+F21+H21+J21+L21+N21+P21+R21</f>
        <v>6</v>
      </c>
      <c r="U21" s="15">
        <f t="shared" si="17"/>
        <v>123585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21" t="s">
        <v>124</v>
      </c>
      <c r="B22" s="21">
        <v>1.0</v>
      </c>
      <c r="C22" s="21">
        <v>14928.0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15">
        <f t="shared" ref="T22:U22" si="18">B22+D22+F22+H22+J22+L22+N22+P22+R22</f>
        <v>1</v>
      </c>
      <c r="U22" s="15">
        <f t="shared" si="18"/>
        <v>14928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21" t="s">
        <v>85</v>
      </c>
      <c r="B23" s="21">
        <v>4.0</v>
      </c>
      <c r="C23" s="21">
        <v>187306.0</v>
      </c>
      <c r="D23" s="21">
        <v>2.0</v>
      </c>
      <c r="E23" s="21">
        <v>24959.0</v>
      </c>
      <c r="F23" s="22"/>
      <c r="G23" s="22"/>
      <c r="H23" s="22"/>
      <c r="I23" s="22"/>
      <c r="J23" s="21">
        <v>3.0</v>
      </c>
      <c r="K23" s="21">
        <v>52691.0</v>
      </c>
      <c r="L23" s="21">
        <v>2.0</v>
      </c>
      <c r="M23" s="21">
        <v>23425.0</v>
      </c>
      <c r="N23" s="21">
        <v>2.0</v>
      </c>
      <c r="O23" s="21">
        <v>6501.0</v>
      </c>
      <c r="P23" s="21">
        <v>2.0</v>
      </c>
      <c r="Q23" s="21">
        <v>3126.0</v>
      </c>
      <c r="R23" s="22"/>
      <c r="S23" s="22"/>
      <c r="T23" s="15">
        <f t="shared" ref="T23:U23" si="19">B23+D23+F23+H23+J23+L23+N23+P23+R23</f>
        <v>15</v>
      </c>
      <c r="U23" s="15">
        <f t="shared" si="19"/>
        <v>298008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21" t="s">
        <v>90</v>
      </c>
      <c r="B24" s="22"/>
      <c r="C24" s="22"/>
      <c r="D24" s="22"/>
      <c r="E24" s="22"/>
      <c r="F24" s="22"/>
      <c r="G24" s="22"/>
      <c r="H24" s="22"/>
      <c r="I24" s="22"/>
      <c r="J24" s="21">
        <v>1.0</v>
      </c>
      <c r="K24" s="21">
        <v>39578.0</v>
      </c>
      <c r="L24" s="22"/>
      <c r="M24" s="22"/>
      <c r="N24" s="22"/>
      <c r="O24" s="22"/>
      <c r="P24" s="22"/>
      <c r="Q24" s="22"/>
      <c r="R24" s="22"/>
      <c r="S24" s="22"/>
      <c r="T24" s="15">
        <f t="shared" ref="T24:U24" si="20">B24+D24+F24+H24+J24+L24+N24+P24+R24</f>
        <v>1</v>
      </c>
      <c r="U24" s="15">
        <f t="shared" si="20"/>
        <v>39578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21" t="s">
        <v>98</v>
      </c>
      <c r="B25" s="22"/>
      <c r="C25" s="22"/>
      <c r="D25" s="21">
        <v>1.0</v>
      </c>
      <c r="E25" s="21">
        <v>3583.0</v>
      </c>
      <c r="F25" s="22"/>
      <c r="G25" s="22"/>
      <c r="H25" s="22"/>
      <c r="I25" s="22"/>
      <c r="J25" s="21">
        <v>6.0</v>
      </c>
      <c r="K25" s="21">
        <v>183557.0</v>
      </c>
      <c r="L25" s="22"/>
      <c r="M25" s="22"/>
      <c r="N25" s="22"/>
      <c r="O25" s="22"/>
      <c r="P25" s="22"/>
      <c r="Q25" s="22"/>
      <c r="R25" s="22"/>
      <c r="S25" s="22"/>
      <c r="T25" s="15">
        <f t="shared" ref="T25:U25" si="21">B25+D25+F25+H25+J25+L25+N25+P25+R25</f>
        <v>7</v>
      </c>
      <c r="U25" s="15">
        <f t="shared" si="21"/>
        <v>187140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21" t="s">
        <v>111</v>
      </c>
      <c r="B26" s="21">
        <v>6.0</v>
      </c>
      <c r="C26" s="21">
        <v>56292.0</v>
      </c>
      <c r="D26" s="21">
        <v>13.0</v>
      </c>
      <c r="E26" s="21">
        <v>35703.0</v>
      </c>
      <c r="F26" s="21">
        <v>6.0</v>
      </c>
      <c r="G26" s="21">
        <v>21126.0</v>
      </c>
      <c r="H26" s="21">
        <v>1.0</v>
      </c>
      <c r="I26" s="21">
        <v>272.0</v>
      </c>
      <c r="J26" s="21">
        <v>48.0</v>
      </c>
      <c r="K26" s="21">
        <v>1277287.0</v>
      </c>
      <c r="L26" s="21">
        <v>1.0</v>
      </c>
      <c r="M26" s="21">
        <v>12495.0</v>
      </c>
      <c r="N26" s="21">
        <v>4.0</v>
      </c>
      <c r="O26" s="21">
        <v>13512.0</v>
      </c>
      <c r="P26" s="21">
        <v>5.0</v>
      </c>
      <c r="Q26" s="21">
        <v>12539.0</v>
      </c>
      <c r="R26" s="21">
        <v>8.0</v>
      </c>
      <c r="S26" s="21">
        <v>1066230.0</v>
      </c>
      <c r="T26" s="15">
        <f t="shared" ref="T26:U26" si="22">B26+D26+F26+H26+J26+L26+N26+P26+R26</f>
        <v>92</v>
      </c>
      <c r="U26" s="15">
        <f t="shared" si="22"/>
        <v>2495456</v>
      </c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21" t="s">
        <v>133</v>
      </c>
      <c r="B27" s="22"/>
      <c r="C27" s="22"/>
      <c r="D27" s="21">
        <v>23.0</v>
      </c>
      <c r="E27" s="21">
        <v>60884.0</v>
      </c>
      <c r="F27" s="21">
        <v>1.0</v>
      </c>
      <c r="G27" s="21">
        <v>554.0</v>
      </c>
      <c r="H27" s="22"/>
      <c r="I27" s="22"/>
      <c r="J27" s="21">
        <v>8.0</v>
      </c>
      <c r="K27" s="21">
        <v>148390.0</v>
      </c>
      <c r="L27" s="22"/>
      <c r="M27" s="22"/>
      <c r="N27" s="21">
        <v>2.0</v>
      </c>
      <c r="O27" s="21">
        <v>4288.0</v>
      </c>
      <c r="P27" s="21">
        <v>68.0</v>
      </c>
      <c r="Q27" s="21">
        <v>153345.0</v>
      </c>
      <c r="R27" s="22"/>
      <c r="S27" s="22"/>
      <c r="T27" s="15">
        <f t="shared" ref="T27:U27" si="23">B27+D27+F27+H27+J27+L27+N27+P27+R27</f>
        <v>102</v>
      </c>
      <c r="U27" s="15">
        <f t="shared" si="23"/>
        <v>367461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21" t="s">
        <v>137</v>
      </c>
      <c r="B28" s="22"/>
      <c r="C28" s="22"/>
      <c r="D28" s="22"/>
      <c r="E28" s="22"/>
      <c r="F28" s="22"/>
      <c r="G28" s="22"/>
      <c r="H28" s="22"/>
      <c r="I28" s="22"/>
      <c r="J28" s="21">
        <v>2.0</v>
      </c>
      <c r="K28" s="21">
        <v>35189.0</v>
      </c>
      <c r="L28" s="22"/>
      <c r="M28" s="22"/>
      <c r="N28" s="22"/>
      <c r="O28" s="22"/>
      <c r="P28" s="21">
        <v>59.0</v>
      </c>
      <c r="Q28" s="21">
        <v>114141.0</v>
      </c>
      <c r="R28" s="22"/>
      <c r="S28" s="22"/>
      <c r="T28" s="15">
        <f t="shared" ref="T28:U28" si="24">B28+D28+F28+H28+J28+L28+N28+P28+R28</f>
        <v>61</v>
      </c>
      <c r="U28" s="15">
        <f t="shared" si="24"/>
        <v>149330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21" t="s">
        <v>158</v>
      </c>
      <c r="B29" s="22"/>
      <c r="C29" s="22"/>
      <c r="D29" s="22"/>
      <c r="E29" s="22"/>
      <c r="F29" s="22"/>
      <c r="G29" s="22"/>
      <c r="H29" s="22"/>
      <c r="I29" s="22"/>
      <c r="J29" s="21">
        <v>1.0</v>
      </c>
      <c r="K29" s="21">
        <v>20471.0</v>
      </c>
      <c r="L29" s="22"/>
      <c r="M29" s="22"/>
      <c r="N29" s="22"/>
      <c r="O29" s="22"/>
      <c r="P29" s="21">
        <v>1.0</v>
      </c>
      <c r="Q29" s="21">
        <v>964.0</v>
      </c>
      <c r="R29" s="22"/>
      <c r="S29" s="22"/>
      <c r="T29" s="15">
        <f t="shared" ref="T29:U29" si="25">B29+D29+F29+H29+J29+L29+N29+P29+R29</f>
        <v>2</v>
      </c>
      <c r="U29" s="15">
        <f t="shared" si="25"/>
        <v>21435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21" t="s">
        <v>162</v>
      </c>
      <c r="B30" s="21">
        <v>6.0</v>
      </c>
      <c r="C30" s="21">
        <v>30504.0</v>
      </c>
      <c r="D30" s="22"/>
      <c r="E30" s="22"/>
      <c r="F30" s="22"/>
      <c r="G30" s="22"/>
      <c r="H30" s="22"/>
      <c r="I30" s="22"/>
      <c r="J30" s="21">
        <v>2.0</v>
      </c>
      <c r="K30" s="21">
        <v>1584.0</v>
      </c>
      <c r="L30" s="21">
        <v>1.0</v>
      </c>
      <c r="M30" s="21">
        <v>12344.0</v>
      </c>
      <c r="N30" s="22"/>
      <c r="O30" s="22"/>
      <c r="P30" s="21">
        <v>7.0</v>
      </c>
      <c r="Q30" s="21">
        <v>23756.0</v>
      </c>
      <c r="R30" s="22"/>
      <c r="S30" s="22"/>
      <c r="T30" s="15">
        <f t="shared" ref="T30:U30" si="26">B30+D30+F30+H30+J30+L30+N30+P30+R30</f>
        <v>16</v>
      </c>
      <c r="U30" s="15">
        <f t="shared" si="26"/>
        <v>68188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21" t="s">
        <v>674</v>
      </c>
      <c r="B31" s="21">
        <v>4.0</v>
      </c>
      <c r="C31" s="21">
        <v>39974.0</v>
      </c>
      <c r="D31" s="22"/>
      <c r="E31" s="22"/>
      <c r="F31" s="21">
        <v>2.0</v>
      </c>
      <c r="G31" s="21">
        <v>14252.0</v>
      </c>
      <c r="H31" s="21">
        <v>4.0</v>
      </c>
      <c r="I31" s="21">
        <v>802.0</v>
      </c>
      <c r="J31" s="21">
        <v>15.0</v>
      </c>
      <c r="K31" s="21">
        <v>68053.0</v>
      </c>
      <c r="L31" s="21">
        <v>2.0</v>
      </c>
      <c r="M31" s="21">
        <v>26600.0</v>
      </c>
      <c r="N31" s="21">
        <v>1.0</v>
      </c>
      <c r="O31" s="21">
        <v>12400.0</v>
      </c>
      <c r="P31" s="21">
        <v>19.0</v>
      </c>
      <c r="Q31" s="21">
        <v>93284.0</v>
      </c>
      <c r="R31" s="21">
        <v>5.0</v>
      </c>
      <c r="S31" s="21">
        <v>218090.0</v>
      </c>
      <c r="T31" s="15">
        <f t="shared" ref="T31:U31" si="27">B31+D31+F31+H31+J31+L31+N31+P31+R31</f>
        <v>52</v>
      </c>
      <c r="U31" s="15">
        <f t="shared" si="27"/>
        <v>473455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21" t="s">
        <v>128</v>
      </c>
      <c r="B32" s="21">
        <v>6.0</v>
      </c>
      <c r="C32" s="21">
        <v>19832.0</v>
      </c>
      <c r="D32" s="21">
        <v>3.0</v>
      </c>
      <c r="E32" s="21">
        <v>9585.0</v>
      </c>
      <c r="F32" s="21">
        <v>4.0</v>
      </c>
      <c r="G32" s="21">
        <v>15296.0</v>
      </c>
      <c r="H32" s="22"/>
      <c r="I32" s="22"/>
      <c r="J32" s="21">
        <v>5.0</v>
      </c>
      <c r="K32" s="21">
        <v>163207.0</v>
      </c>
      <c r="L32" s="21">
        <v>1.0</v>
      </c>
      <c r="M32" s="21">
        <v>12509.0</v>
      </c>
      <c r="N32" s="21">
        <v>8.0</v>
      </c>
      <c r="O32" s="21">
        <v>17665.0</v>
      </c>
      <c r="P32" s="21">
        <v>5.0</v>
      </c>
      <c r="Q32" s="21">
        <v>9489.0</v>
      </c>
      <c r="R32" s="22"/>
      <c r="S32" s="22"/>
      <c r="T32" s="15">
        <f t="shared" ref="T32:U32" si="28">B32+D32+F32+H32+J32+L32+N32+P32+R32</f>
        <v>32</v>
      </c>
      <c r="U32" s="15">
        <f t="shared" si="28"/>
        <v>247583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21" t="s">
        <v>140</v>
      </c>
      <c r="B33" s="22"/>
      <c r="C33" s="22"/>
      <c r="D33" s="22"/>
      <c r="E33" s="22"/>
      <c r="F33" s="22"/>
      <c r="G33" s="22"/>
      <c r="H33" s="22"/>
      <c r="I33" s="22"/>
      <c r="J33" s="21">
        <v>3.0</v>
      </c>
      <c r="K33" s="21">
        <v>60396.0</v>
      </c>
      <c r="L33" s="22"/>
      <c r="M33" s="22"/>
      <c r="N33" s="21">
        <v>3.0</v>
      </c>
      <c r="O33" s="21">
        <v>19600.0</v>
      </c>
      <c r="P33" s="21">
        <v>3.0</v>
      </c>
      <c r="Q33" s="21">
        <v>31654.0</v>
      </c>
      <c r="R33" s="21">
        <v>1.0</v>
      </c>
      <c r="S33" s="21">
        <v>269816.0</v>
      </c>
      <c r="T33" s="15">
        <f t="shared" ref="T33:U33" si="29">B33+D33+F33+H33+J33+L33+N33+P33+R33</f>
        <v>10</v>
      </c>
      <c r="U33" s="15">
        <f t="shared" si="29"/>
        <v>381466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21" t="s">
        <v>143</v>
      </c>
      <c r="B34" s="21">
        <v>36.0</v>
      </c>
      <c r="C34" s="21">
        <v>326885.0</v>
      </c>
      <c r="D34" s="22"/>
      <c r="E34" s="22"/>
      <c r="F34" s="21">
        <v>6.0</v>
      </c>
      <c r="G34" s="21">
        <v>28933.0</v>
      </c>
      <c r="H34" s="22"/>
      <c r="I34" s="22"/>
      <c r="J34" s="21">
        <v>4.0</v>
      </c>
      <c r="K34" s="21">
        <v>143726.0</v>
      </c>
      <c r="L34" s="22"/>
      <c r="M34" s="22"/>
      <c r="N34" s="21">
        <v>6.0</v>
      </c>
      <c r="O34" s="21">
        <v>19862.0</v>
      </c>
      <c r="P34" s="21">
        <v>1.0</v>
      </c>
      <c r="Q34" s="21">
        <v>187.0</v>
      </c>
      <c r="R34" s="22"/>
      <c r="S34" s="22"/>
      <c r="T34" s="15">
        <f t="shared" ref="T34:U34" si="30">B34+D34+F34+H34+J34+L34+N34+P34+R34</f>
        <v>53</v>
      </c>
      <c r="U34" s="15">
        <f t="shared" si="30"/>
        <v>519593</v>
      </c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21" t="s">
        <v>147</v>
      </c>
      <c r="B35" s="21">
        <v>40.0</v>
      </c>
      <c r="C35" s="21">
        <v>1986511.0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1">
        <v>6.0</v>
      </c>
      <c r="O35" s="21">
        <v>55530.0</v>
      </c>
      <c r="P35" s="21">
        <v>4.0</v>
      </c>
      <c r="Q35" s="21">
        <v>57810.0</v>
      </c>
      <c r="R35" s="22"/>
      <c r="S35" s="22"/>
      <c r="T35" s="15">
        <f t="shared" ref="T35:U35" si="31">B35+D35+F35+H35+J35+L35+N35+P35+R35</f>
        <v>50</v>
      </c>
      <c r="U35" s="15">
        <f t="shared" si="31"/>
        <v>2099851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21" t="s">
        <v>149</v>
      </c>
      <c r="B36" s="21">
        <v>2.0</v>
      </c>
      <c r="C36" s="21">
        <v>1245.0</v>
      </c>
      <c r="D36" s="22"/>
      <c r="E36" s="22"/>
      <c r="F36" s="21">
        <v>1.0</v>
      </c>
      <c r="G36" s="21">
        <v>26748.0</v>
      </c>
      <c r="H36" s="22"/>
      <c r="I36" s="22"/>
      <c r="J36" s="21">
        <v>1.0</v>
      </c>
      <c r="K36" s="21">
        <v>22827.0</v>
      </c>
      <c r="L36" s="22"/>
      <c r="M36" s="22"/>
      <c r="N36" s="22"/>
      <c r="O36" s="22"/>
      <c r="P36" s="21">
        <v>1.0</v>
      </c>
      <c r="Q36" s="21">
        <v>50896.0</v>
      </c>
      <c r="R36" s="22"/>
      <c r="S36" s="22"/>
      <c r="T36" s="15">
        <f t="shared" ref="T36:U36" si="32">B36+D36+F36+H36+J36+L36+N36+P36+R36</f>
        <v>5</v>
      </c>
      <c r="U36" s="15">
        <f t="shared" si="32"/>
        <v>101716</v>
      </c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21" t="s">
        <v>152</v>
      </c>
      <c r="B37" s="21">
        <v>2.0</v>
      </c>
      <c r="C37" s="21">
        <v>1247.0</v>
      </c>
      <c r="D37" s="22"/>
      <c r="E37" s="22"/>
      <c r="F37" s="21">
        <v>1.0</v>
      </c>
      <c r="G37" s="21">
        <v>26850.0</v>
      </c>
      <c r="H37" s="22"/>
      <c r="I37" s="22"/>
      <c r="J37" s="21">
        <v>1.0</v>
      </c>
      <c r="K37" s="21">
        <v>22876.0</v>
      </c>
      <c r="L37" s="22"/>
      <c r="M37" s="22"/>
      <c r="N37" s="22"/>
      <c r="O37" s="22"/>
      <c r="P37" s="21">
        <v>1.0</v>
      </c>
      <c r="Q37" s="21">
        <v>50896.0</v>
      </c>
      <c r="R37" s="22"/>
      <c r="S37" s="22"/>
      <c r="T37" s="15">
        <f t="shared" ref="T37:U37" si="33">B37+D37+F37+H37+J37+L37+N37+P37+R37</f>
        <v>5</v>
      </c>
      <c r="U37" s="15">
        <f t="shared" si="33"/>
        <v>101869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21" t="s">
        <v>155</v>
      </c>
      <c r="B38" s="21">
        <v>16.0</v>
      </c>
      <c r="C38" s="21">
        <v>459445.0</v>
      </c>
      <c r="D38" s="21">
        <v>34.0</v>
      </c>
      <c r="E38" s="21">
        <v>22068.0</v>
      </c>
      <c r="F38" s="21">
        <v>1.0</v>
      </c>
      <c r="G38" s="21">
        <v>13985.0</v>
      </c>
      <c r="H38" s="22"/>
      <c r="I38" s="22"/>
      <c r="J38" s="22"/>
      <c r="K38" s="22"/>
      <c r="L38" s="22"/>
      <c r="M38" s="22"/>
      <c r="N38" s="22"/>
      <c r="O38" s="22"/>
      <c r="P38" s="21">
        <v>1.0</v>
      </c>
      <c r="Q38" s="21">
        <v>5552.0</v>
      </c>
      <c r="R38" s="21">
        <v>6.0</v>
      </c>
      <c r="S38" s="21">
        <v>950540.0</v>
      </c>
      <c r="T38" s="15">
        <f t="shared" ref="T38:U38" si="34">B38+D38+F38+H38+J38+L38+N38+P38+R38</f>
        <v>58</v>
      </c>
      <c r="U38" s="15">
        <f t="shared" si="34"/>
        <v>1451590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21" t="s">
        <v>165</v>
      </c>
      <c r="B39" s="21">
        <v>1.0</v>
      </c>
      <c r="C39" s="21">
        <v>5833.0</v>
      </c>
      <c r="D39" s="22"/>
      <c r="E39" s="22"/>
      <c r="F39" s="22"/>
      <c r="G39" s="22"/>
      <c r="H39" s="22"/>
      <c r="I39" s="22"/>
      <c r="J39" s="21">
        <v>2.0</v>
      </c>
      <c r="K39" s="21">
        <v>50336.0</v>
      </c>
      <c r="L39" s="22"/>
      <c r="M39" s="22"/>
      <c r="N39" s="21">
        <v>1.0</v>
      </c>
      <c r="O39" s="21">
        <v>3839.0</v>
      </c>
      <c r="P39" s="21">
        <v>1.0</v>
      </c>
      <c r="Q39" s="21">
        <v>6129.0</v>
      </c>
      <c r="R39" s="22"/>
      <c r="S39" s="22"/>
      <c r="T39" s="15">
        <f t="shared" ref="T39:U39" si="35">B39+D39+F39+H39+J39+L39+N39+P39+R39</f>
        <v>5</v>
      </c>
      <c r="U39" s="15">
        <f t="shared" si="35"/>
        <v>66137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21" t="s">
        <v>171</v>
      </c>
      <c r="B40" s="21">
        <v>30.0</v>
      </c>
      <c r="C40" s="21">
        <v>698091.0</v>
      </c>
      <c r="D40" s="21">
        <v>20.0</v>
      </c>
      <c r="E40" s="21">
        <v>115051.0</v>
      </c>
      <c r="F40" s="21">
        <v>15.0</v>
      </c>
      <c r="G40" s="21">
        <v>177339.0</v>
      </c>
      <c r="H40" s="21">
        <v>2.0</v>
      </c>
      <c r="I40" s="21">
        <v>1088.0</v>
      </c>
      <c r="J40" s="21">
        <v>69.0</v>
      </c>
      <c r="K40" s="21">
        <v>529812.0</v>
      </c>
      <c r="L40" s="21">
        <v>2.0</v>
      </c>
      <c r="M40" s="21">
        <v>31744.0</v>
      </c>
      <c r="N40" s="21">
        <v>3.0</v>
      </c>
      <c r="O40" s="21">
        <v>20498.0</v>
      </c>
      <c r="P40" s="21">
        <v>20.0</v>
      </c>
      <c r="Q40" s="21">
        <v>225308.0</v>
      </c>
      <c r="R40" s="21">
        <v>1.0</v>
      </c>
      <c r="S40" s="21">
        <v>424089.0</v>
      </c>
      <c r="T40" s="15">
        <f t="shared" ref="T40:U40" si="36">B40+D40+F40+H40+J40+L40+N40+P40+R40</f>
        <v>162</v>
      </c>
      <c r="U40" s="15">
        <f t="shared" si="36"/>
        <v>2223020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21" t="s">
        <v>178</v>
      </c>
      <c r="B41" s="21">
        <v>26.0</v>
      </c>
      <c r="C41" s="21">
        <v>166348.0</v>
      </c>
      <c r="D41" s="21">
        <v>2.0</v>
      </c>
      <c r="E41" s="21">
        <v>6451.0</v>
      </c>
      <c r="F41" s="22"/>
      <c r="G41" s="22"/>
      <c r="H41" s="22"/>
      <c r="I41" s="22"/>
      <c r="J41" s="21">
        <v>40.0</v>
      </c>
      <c r="K41" s="21">
        <v>716188.0</v>
      </c>
      <c r="L41" s="21">
        <v>1.0</v>
      </c>
      <c r="M41" s="21">
        <v>12511.0</v>
      </c>
      <c r="N41" s="21">
        <v>5.0</v>
      </c>
      <c r="O41" s="21">
        <v>17063.0</v>
      </c>
      <c r="P41" s="21">
        <v>2.0</v>
      </c>
      <c r="Q41" s="21">
        <v>4534.0</v>
      </c>
      <c r="R41" s="21">
        <v>1.0</v>
      </c>
      <c r="S41" s="21">
        <v>5987.0</v>
      </c>
      <c r="T41" s="15">
        <f t="shared" ref="T41:U41" si="37">B41+D41+F41+H41+J41+L41+N41+P41+R41</f>
        <v>77</v>
      </c>
      <c r="U41" s="15">
        <f t="shared" si="37"/>
        <v>929082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21" t="s">
        <v>182</v>
      </c>
      <c r="B42" s="21">
        <v>5.0</v>
      </c>
      <c r="C42" s="21">
        <v>8791.0</v>
      </c>
      <c r="D42" s="21">
        <v>10.0</v>
      </c>
      <c r="E42" s="21">
        <v>11770.0</v>
      </c>
      <c r="F42" s="22"/>
      <c r="G42" s="22"/>
      <c r="H42" s="22"/>
      <c r="I42" s="22"/>
      <c r="J42" s="21">
        <v>9.0</v>
      </c>
      <c r="K42" s="21">
        <v>198748.0</v>
      </c>
      <c r="L42" s="21">
        <v>1.0</v>
      </c>
      <c r="M42" s="21">
        <v>12474.0</v>
      </c>
      <c r="N42" s="21">
        <v>7.0</v>
      </c>
      <c r="O42" s="21">
        <v>13439.0</v>
      </c>
      <c r="P42" s="21">
        <v>6.0</v>
      </c>
      <c r="Q42" s="21">
        <v>23867.0</v>
      </c>
      <c r="R42" s="22"/>
      <c r="S42" s="22"/>
      <c r="T42" s="15">
        <f t="shared" ref="T42:U42" si="38">B42+D42+F42+H42+J42+L42+N42+P42+R42</f>
        <v>38</v>
      </c>
      <c r="U42" s="15">
        <f t="shared" si="38"/>
        <v>269089</v>
      </c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21" t="s">
        <v>186</v>
      </c>
      <c r="B43" s="21">
        <v>8.0</v>
      </c>
      <c r="C43" s="21">
        <v>44017.0</v>
      </c>
      <c r="D43" s="22"/>
      <c r="E43" s="22"/>
      <c r="F43" s="21">
        <v>3.0</v>
      </c>
      <c r="G43" s="21">
        <v>27099.0</v>
      </c>
      <c r="H43" s="22"/>
      <c r="I43" s="22"/>
      <c r="J43" s="21">
        <v>2.0</v>
      </c>
      <c r="K43" s="21">
        <v>55792.0</v>
      </c>
      <c r="L43" s="22"/>
      <c r="M43" s="22"/>
      <c r="N43" s="21">
        <v>1.0</v>
      </c>
      <c r="O43" s="21">
        <v>3783.0</v>
      </c>
      <c r="P43" s="21">
        <v>2.0</v>
      </c>
      <c r="Q43" s="21">
        <v>10716.0</v>
      </c>
      <c r="R43" s="22"/>
      <c r="S43" s="22"/>
      <c r="T43" s="15">
        <f t="shared" ref="T43:U43" si="39">B43+D43+F43+H43+J43+L43+N43+P43+R43</f>
        <v>16</v>
      </c>
      <c r="U43" s="15">
        <f t="shared" si="39"/>
        <v>141407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21" t="s">
        <v>191</v>
      </c>
      <c r="B44" s="21">
        <v>1.0</v>
      </c>
      <c r="C44" s="21">
        <v>11913.0</v>
      </c>
      <c r="D44" s="22"/>
      <c r="E44" s="22"/>
      <c r="F44" s="21">
        <v>2.0</v>
      </c>
      <c r="G44" s="21">
        <v>2821.0</v>
      </c>
      <c r="H44" s="22"/>
      <c r="I44" s="22"/>
      <c r="J44" s="21">
        <v>2.0</v>
      </c>
      <c r="K44" s="21">
        <v>57321.0</v>
      </c>
      <c r="L44" s="22"/>
      <c r="M44" s="22"/>
      <c r="N44" s="22"/>
      <c r="O44" s="22"/>
      <c r="P44" s="21">
        <v>5.0</v>
      </c>
      <c r="Q44" s="21">
        <v>8652.0</v>
      </c>
      <c r="R44" s="22"/>
      <c r="S44" s="22"/>
      <c r="T44" s="15">
        <f t="shared" ref="T44:U44" si="40">B44+D44+F44+H44+J44+L44+N44+P44+R44</f>
        <v>10</v>
      </c>
      <c r="U44" s="15">
        <f t="shared" si="40"/>
        <v>80707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21" t="s">
        <v>195</v>
      </c>
      <c r="B45" s="21">
        <v>27.0</v>
      </c>
      <c r="C45" s="21">
        <v>748362.0</v>
      </c>
      <c r="D45" s="21">
        <v>4.0</v>
      </c>
      <c r="E45" s="21">
        <v>292.0</v>
      </c>
      <c r="F45" s="21">
        <v>1.0</v>
      </c>
      <c r="G45" s="21">
        <v>11062.0</v>
      </c>
      <c r="H45" s="22"/>
      <c r="I45" s="22"/>
      <c r="J45" s="21">
        <v>1.0</v>
      </c>
      <c r="K45" s="21">
        <v>3339.0</v>
      </c>
      <c r="L45" s="22"/>
      <c r="M45" s="22"/>
      <c r="N45" s="21">
        <v>1.0</v>
      </c>
      <c r="O45" s="21">
        <v>1840.0</v>
      </c>
      <c r="P45" s="22"/>
      <c r="Q45" s="22"/>
      <c r="R45" s="21">
        <v>5.0</v>
      </c>
      <c r="S45" s="21">
        <v>1609192.0</v>
      </c>
      <c r="T45" s="15">
        <f t="shared" ref="T45:U45" si="41">B45+D45+F45+H45+J45+L45+N45+P45+R45</f>
        <v>39</v>
      </c>
      <c r="U45" s="15">
        <f t="shared" si="41"/>
        <v>2374087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21" t="s">
        <v>197</v>
      </c>
      <c r="B46" s="21">
        <v>35.0</v>
      </c>
      <c r="C46" s="21">
        <v>778114.0</v>
      </c>
      <c r="D46" s="21">
        <v>25.0</v>
      </c>
      <c r="E46" s="21">
        <v>96155.0</v>
      </c>
      <c r="F46" s="21">
        <v>35.0</v>
      </c>
      <c r="G46" s="21">
        <v>267277.0</v>
      </c>
      <c r="H46" s="21">
        <v>1.0</v>
      </c>
      <c r="I46" s="21">
        <v>544.0</v>
      </c>
      <c r="J46" s="21">
        <v>80.0</v>
      </c>
      <c r="K46" s="21">
        <v>546341.0</v>
      </c>
      <c r="L46" s="21">
        <v>5.0</v>
      </c>
      <c r="M46" s="21">
        <v>150186.0</v>
      </c>
      <c r="N46" s="21">
        <v>12.0</v>
      </c>
      <c r="O46" s="21">
        <v>168838.0</v>
      </c>
      <c r="P46" s="21">
        <v>16.0</v>
      </c>
      <c r="Q46" s="21">
        <v>384469.0</v>
      </c>
      <c r="R46" s="21">
        <v>4.0</v>
      </c>
      <c r="S46" s="21">
        <v>537428.0</v>
      </c>
      <c r="T46" s="15">
        <f t="shared" ref="T46:U46" si="42">B46+D46+F46+H46+J46+L46+N46+P46+R46</f>
        <v>213</v>
      </c>
      <c r="U46" s="15">
        <f t="shared" si="42"/>
        <v>2929352</v>
      </c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21" t="s">
        <v>199</v>
      </c>
      <c r="B47" s="21">
        <v>52.0</v>
      </c>
      <c r="C47" s="21">
        <v>458931.0</v>
      </c>
      <c r="D47" s="21">
        <v>9.0</v>
      </c>
      <c r="E47" s="21">
        <v>29138.0</v>
      </c>
      <c r="F47" s="22"/>
      <c r="G47" s="22"/>
      <c r="H47" s="21">
        <v>1.0</v>
      </c>
      <c r="I47" s="21">
        <v>272.0</v>
      </c>
      <c r="J47" s="22"/>
      <c r="K47" s="22"/>
      <c r="L47" s="22"/>
      <c r="M47" s="22"/>
      <c r="N47" s="21">
        <v>35.0</v>
      </c>
      <c r="O47" s="21">
        <v>151755.0</v>
      </c>
      <c r="P47" s="22"/>
      <c r="Q47" s="22"/>
      <c r="R47" s="21">
        <v>7.0</v>
      </c>
      <c r="S47" s="21">
        <v>2473953.0</v>
      </c>
      <c r="T47" s="15">
        <f t="shared" ref="T47:U47" si="43">B47+D47+F47+H47+J47+L47+N47+P47+R47</f>
        <v>104</v>
      </c>
      <c r="U47" s="15">
        <f t="shared" si="43"/>
        <v>3114049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21" t="s">
        <v>203</v>
      </c>
      <c r="B48" s="22"/>
      <c r="C48" s="22"/>
      <c r="D48" s="22"/>
      <c r="E48" s="22"/>
      <c r="F48" s="22"/>
      <c r="G48" s="22"/>
      <c r="H48" s="22"/>
      <c r="I48" s="22"/>
      <c r="J48" s="21">
        <v>1.0</v>
      </c>
      <c r="K48" s="21">
        <v>9911.0</v>
      </c>
      <c r="L48" s="22"/>
      <c r="M48" s="22"/>
      <c r="N48" s="21">
        <v>1.0</v>
      </c>
      <c r="O48" s="21">
        <v>2764.0</v>
      </c>
      <c r="P48" s="21">
        <v>3.0</v>
      </c>
      <c r="Q48" s="21">
        <v>1655.0</v>
      </c>
      <c r="R48" s="22"/>
      <c r="S48" s="22"/>
      <c r="T48" s="15">
        <f t="shared" ref="T48:U48" si="44">B48+D48+F48+H48+J48+L48+N48+P48+R48</f>
        <v>5</v>
      </c>
      <c r="U48" s="15">
        <f t="shared" si="44"/>
        <v>14330</v>
      </c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21" t="s">
        <v>214</v>
      </c>
      <c r="B49" s="21">
        <v>23.0</v>
      </c>
      <c r="C49" s="21">
        <v>169507.0</v>
      </c>
      <c r="D49" s="22"/>
      <c r="E49" s="22"/>
      <c r="F49" s="22"/>
      <c r="G49" s="22"/>
      <c r="H49" s="22"/>
      <c r="I49" s="22"/>
      <c r="J49" s="22"/>
      <c r="K49" s="22"/>
      <c r="L49" s="21">
        <v>2.0</v>
      </c>
      <c r="M49" s="21">
        <v>23520.0</v>
      </c>
      <c r="N49" s="21">
        <v>2.0</v>
      </c>
      <c r="O49" s="21">
        <v>7678.0</v>
      </c>
      <c r="P49" s="21">
        <v>12.0</v>
      </c>
      <c r="Q49" s="21">
        <v>40464.0</v>
      </c>
      <c r="R49" s="22"/>
      <c r="S49" s="22"/>
      <c r="T49" s="15">
        <f t="shared" ref="T49:U49" si="45">B49+D49+F49+H49+J49+L49+N49+P49+R49</f>
        <v>39</v>
      </c>
      <c r="U49" s="15">
        <f t="shared" si="45"/>
        <v>241169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21" t="s">
        <v>210</v>
      </c>
      <c r="B50" s="21">
        <v>1.0</v>
      </c>
      <c r="C50" s="21">
        <v>86718.0</v>
      </c>
      <c r="D50" s="21">
        <v>11.0</v>
      </c>
      <c r="E50" s="21">
        <v>38479.0</v>
      </c>
      <c r="F50" s="21">
        <v>2.0</v>
      </c>
      <c r="G50" s="21">
        <v>55150.0</v>
      </c>
      <c r="H50" s="21">
        <v>1.0</v>
      </c>
      <c r="I50" s="21">
        <v>1632.0</v>
      </c>
      <c r="J50" s="21">
        <v>4.0</v>
      </c>
      <c r="K50" s="21">
        <v>227907.0</v>
      </c>
      <c r="L50" s="21">
        <v>1.0</v>
      </c>
      <c r="M50" s="21">
        <v>37500.0</v>
      </c>
      <c r="N50" s="21">
        <v>1.0</v>
      </c>
      <c r="O50" s="21">
        <v>11613.0</v>
      </c>
      <c r="P50" s="21">
        <v>4.0</v>
      </c>
      <c r="Q50" s="21">
        <v>69778.0</v>
      </c>
      <c r="R50" s="22"/>
      <c r="S50" s="22"/>
      <c r="T50" s="15">
        <f t="shared" ref="T50:U50" si="46">B50+D50+F50+H50+J50+L50+N50+P50+R50</f>
        <v>25</v>
      </c>
      <c r="U50" s="15">
        <f t="shared" si="46"/>
        <v>528777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21" t="s">
        <v>218</v>
      </c>
      <c r="B51" s="22"/>
      <c r="C51" s="22"/>
      <c r="D51" s="22"/>
      <c r="E51" s="22"/>
      <c r="F51" s="22"/>
      <c r="G51" s="22"/>
      <c r="H51" s="22"/>
      <c r="I51" s="22"/>
      <c r="J51" s="21">
        <v>3.0</v>
      </c>
      <c r="K51" s="21">
        <v>91375.0</v>
      </c>
      <c r="L51" s="21">
        <v>1.0</v>
      </c>
      <c r="M51" s="21">
        <v>11721.0</v>
      </c>
      <c r="N51" s="22"/>
      <c r="O51" s="22"/>
      <c r="P51" s="21">
        <v>2.0</v>
      </c>
      <c r="Q51" s="21">
        <v>3196.0</v>
      </c>
      <c r="R51" s="22"/>
      <c r="S51" s="22"/>
      <c r="T51" s="15">
        <f t="shared" ref="T51:U51" si="47">B51+D51+F51+H51+J51+L51+N51+P51+R51</f>
        <v>6</v>
      </c>
      <c r="U51" s="15">
        <f t="shared" si="47"/>
        <v>106292</v>
      </c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21" t="s">
        <v>223</v>
      </c>
      <c r="B52" s="21">
        <v>1.0</v>
      </c>
      <c r="C52" s="21">
        <v>11696.0</v>
      </c>
      <c r="D52" s="21">
        <v>1.0</v>
      </c>
      <c r="E52" s="21">
        <v>668.0</v>
      </c>
      <c r="F52" s="21">
        <v>2.0</v>
      </c>
      <c r="G52" s="21">
        <v>11022.0</v>
      </c>
      <c r="H52" s="21">
        <v>1.0</v>
      </c>
      <c r="I52" s="21">
        <v>544.0</v>
      </c>
      <c r="J52" s="21">
        <v>7.0</v>
      </c>
      <c r="K52" s="21">
        <v>36423.0</v>
      </c>
      <c r="L52" s="22"/>
      <c r="M52" s="22"/>
      <c r="N52" s="22"/>
      <c r="O52" s="22"/>
      <c r="P52" s="21">
        <v>24.0</v>
      </c>
      <c r="Q52" s="21">
        <v>288902.0</v>
      </c>
      <c r="R52" s="22"/>
      <c r="S52" s="22"/>
      <c r="T52" s="15">
        <f t="shared" ref="T52:U52" si="48">B52+D52+F52+H52+J52+L52+N52+P52+R52</f>
        <v>36</v>
      </c>
      <c r="U52" s="15">
        <f t="shared" si="48"/>
        <v>349255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21" t="s">
        <v>255</v>
      </c>
      <c r="B53" s="21">
        <v>5.0</v>
      </c>
      <c r="C53" s="21">
        <v>13750.0</v>
      </c>
      <c r="D53" s="21">
        <v>26.0</v>
      </c>
      <c r="E53" s="21">
        <v>66865.0</v>
      </c>
      <c r="F53" s="21">
        <v>3.0</v>
      </c>
      <c r="G53" s="21">
        <v>11228.0</v>
      </c>
      <c r="H53" s="21">
        <v>1.0</v>
      </c>
      <c r="I53" s="21">
        <v>271.0</v>
      </c>
      <c r="J53" s="21">
        <v>16.0</v>
      </c>
      <c r="K53" s="21">
        <v>330748.0</v>
      </c>
      <c r="L53" s="21">
        <v>1.0</v>
      </c>
      <c r="M53" s="21">
        <v>12007.0</v>
      </c>
      <c r="N53" s="21">
        <v>6.0</v>
      </c>
      <c r="O53" s="21">
        <v>25716.0</v>
      </c>
      <c r="P53" s="21">
        <v>3.0</v>
      </c>
      <c r="Q53" s="21">
        <v>4157.0</v>
      </c>
      <c r="R53" s="22"/>
      <c r="S53" s="22"/>
      <c r="T53" s="15">
        <f t="shared" ref="T53:U53" si="49">B53+D53+F53+H53+J53+L53+N53+P53+R53</f>
        <v>61</v>
      </c>
      <c r="U53" s="15">
        <f t="shared" si="49"/>
        <v>464742</v>
      </c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21" t="s">
        <v>259</v>
      </c>
      <c r="B54" s="22"/>
      <c r="C54" s="22"/>
      <c r="D54" s="22"/>
      <c r="E54" s="22"/>
      <c r="F54" s="22"/>
      <c r="G54" s="22"/>
      <c r="H54" s="21">
        <v>1.0</v>
      </c>
      <c r="I54" s="21">
        <v>269.0</v>
      </c>
      <c r="J54" s="22"/>
      <c r="K54" s="22"/>
      <c r="L54" s="22"/>
      <c r="M54" s="22"/>
      <c r="N54" s="22"/>
      <c r="O54" s="22"/>
      <c r="P54" s="21">
        <v>3.0</v>
      </c>
      <c r="Q54" s="21">
        <v>475.0</v>
      </c>
      <c r="R54" s="22"/>
      <c r="S54" s="22"/>
      <c r="T54" s="15">
        <f t="shared" ref="T54:U54" si="50">B54+D54+F54+H54+J54+L54+N54+P54+R54</f>
        <v>4</v>
      </c>
      <c r="U54" s="15">
        <f t="shared" si="50"/>
        <v>744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21" t="s">
        <v>272</v>
      </c>
      <c r="B55" s="21">
        <v>11.0</v>
      </c>
      <c r="C55" s="21">
        <v>74391.0</v>
      </c>
      <c r="D55" s="21">
        <v>24.0</v>
      </c>
      <c r="E55" s="21">
        <v>61017.0</v>
      </c>
      <c r="F55" s="21">
        <v>3.0</v>
      </c>
      <c r="G55" s="21">
        <v>11227.0</v>
      </c>
      <c r="H55" s="21">
        <v>1.0</v>
      </c>
      <c r="I55" s="21">
        <v>261.0</v>
      </c>
      <c r="J55" s="21">
        <v>17.0</v>
      </c>
      <c r="K55" s="21">
        <v>344443.0</v>
      </c>
      <c r="L55" s="21">
        <v>1.0</v>
      </c>
      <c r="M55" s="21">
        <v>12007.0</v>
      </c>
      <c r="N55" s="21">
        <v>6.0</v>
      </c>
      <c r="O55" s="21">
        <v>33082.0</v>
      </c>
      <c r="P55" s="21">
        <v>3.0</v>
      </c>
      <c r="Q55" s="21">
        <v>4142.0</v>
      </c>
      <c r="R55" s="22"/>
      <c r="S55" s="22"/>
      <c r="T55" s="15">
        <f t="shared" ref="T55:U55" si="51">B55+D55+F55+H55+J55+L55+N55+P55+R55</f>
        <v>66</v>
      </c>
      <c r="U55" s="15">
        <f t="shared" si="51"/>
        <v>540570</v>
      </c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21" t="s">
        <v>229</v>
      </c>
      <c r="B56" s="21">
        <v>3.0</v>
      </c>
      <c r="C56" s="21">
        <v>104673.0</v>
      </c>
      <c r="D56" s="21">
        <v>4.0</v>
      </c>
      <c r="E56" s="21">
        <v>4636.0</v>
      </c>
      <c r="F56" s="21">
        <v>5.0</v>
      </c>
      <c r="G56" s="21">
        <v>15188.0</v>
      </c>
      <c r="H56" s="22"/>
      <c r="I56" s="22"/>
      <c r="J56" s="21">
        <v>4.0</v>
      </c>
      <c r="K56" s="21">
        <v>84304.0</v>
      </c>
      <c r="L56" s="22"/>
      <c r="M56" s="22"/>
      <c r="N56" s="22"/>
      <c r="O56" s="22"/>
      <c r="P56" s="22"/>
      <c r="Q56" s="22"/>
      <c r="R56" s="21">
        <v>2.0</v>
      </c>
      <c r="S56" s="21">
        <v>30201.0</v>
      </c>
      <c r="T56" s="15">
        <f t="shared" ref="T56:U56" si="52">B56+D56+F56+H56+J56+L56+N56+P56+R56</f>
        <v>18</v>
      </c>
      <c r="U56" s="15">
        <f t="shared" si="52"/>
        <v>239002</v>
      </c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21" t="s">
        <v>234</v>
      </c>
      <c r="B57" s="21">
        <v>2.0</v>
      </c>
      <c r="C57" s="21">
        <v>118865.0</v>
      </c>
      <c r="D57" s="21">
        <v>2.0</v>
      </c>
      <c r="E57" s="21">
        <v>2989.0</v>
      </c>
      <c r="F57" s="21">
        <v>1.0</v>
      </c>
      <c r="G57" s="21">
        <v>4817.0</v>
      </c>
      <c r="H57" s="22"/>
      <c r="I57" s="22"/>
      <c r="J57" s="21">
        <v>3.0</v>
      </c>
      <c r="K57" s="21">
        <v>52635.0</v>
      </c>
      <c r="L57" s="22"/>
      <c r="M57" s="22"/>
      <c r="N57" s="22"/>
      <c r="O57" s="22"/>
      <c r="P57" s="21">
        <v>3.0</v>
      </c>
      <c r="Q57" s="21">
        <v>13716.0</v>
      </c>
      <c r="R57" s="22"/>
      <c r="S57" s="22"/>
      <c r="T57" s="15">
        <f t="shared" ref="T57:U57" si="53">B57+D57+F57+H57+J57+L57+N57+P57+R57</f>
        <v>11</v>
      </c>
      <c r="U57" s="15">
        <f t="shared" si="53"/>
        <v>193022</v>
      </c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21" t="s">
        <v>239</v>
      </c>
      <c r="B58" s="21">
        <v>9.0</v>
      </c>
      <c r="C58" s="21">
        <v>214709.0</v>
      </c>
      <c r="D58" s="21">
        <v>12.0</v>
      </c>
      <c r="E58" s="21">
        <v>158728.0</v>
      </c>
      <c r="F58" s="22"/>
      <c r="G58" s="22"/>
      <c r="H58" s="22"/>
      <c r="I58" s="22"/>
      <c r="J58" s="21">
        <v>2.0</v>
      </c>
      <c r="K58" s="21">
        <v>24124.0</v>
      </c>
      <c r="L58" s="22"/>
      <c r="M58" s="22"/>
      <c r="N58" s="21">
        <v>9.0</v>
      </c>
      <c r="O58" s="21">
        <v>82884.0</v>
      </c>
      <c r="P58" s="21">
        <v>3.0</v>
      </c>
      <c r="Q58" s="21">
        <v>70631.0</v>
      </c>
      <c r="R58" s="22"/>
      <c r="S58" s="22"/>
      <c r="T58" s="15">
        <f t="shared" ref="T58:U58" si="54">B58+D58+F58+H58+J58+L58+N58+P58+R58</f>
        <v>35</v>
      </c>
      <c r="U58" s="15">
        <f t="shared" si="54"/>
        <v>551076</v>
      </c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21" t="s">
        <v>241</v>
      </c>
      <c r="B59" s="21">
        <v>2.0</v>
      </c>
      <c r="C59" s="21">
        <v>250531.0</v>
      </c>
      <c r="D59" s="21">
        <v>4.0</v>
      </c>
      <c r="E59" s="21">
        <v>131250.0</v>
      </c>
      <c r="F59" s="21">
        <v>3.0</v>
      </c>
      <c r="G59" s="21">
        <v>94710.0</v>
      </c>
      <c r="H59" s="22"/>
      <c r="I59" s="22"/>
      <c r="J59" s="21">
        <v>4.0</v>
      </c>
      <c r="K59" s="21">
        <v>89132.0</v>
      </c>
      <c r="L59" s="22"/>
      <c r="M59" s="22"/>
      <c r="N59" s="21">
        <v>9.0</v>
      </c>
      <c r="O59" s="21">
        <v>98195.0</v>
      </c>
      <c r="P59" s="21">
        <v>8.0</v>
      </c>
      <c r="Q59" s="21">
        <v>244130.0</v>
      </c>
      <c r="R59" s="21">
        <v>3.0</v>
      </c>
      <c r="S59" s="21">
        <v>2509237.0</v>
      </c>
      <c r="T59" s="15">
        <f t="shared" ref="T59:U59" si="55">B59+D59+F59+H59+J59+L59+N59+P59+R59</f>
        <v>33</v>
      </c>
      <c r="U59" s="15">
        <f t="shared" si="55"/>
        <v>3417185</v>
      </c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21" t="s">
        <v>246</v>
      </c>
      <c r="B60" s="21">
        <v>9.0</v>
      </c>
      <c r="C60" s="21">
        <v>66457.0</v>
      </c>
      <c r="D60" s="21">
        <v>2.0</v>
      </c>
      <c r="E60" s="21">
        <v>6434.0</v>
      </c>
      <c r="F60" s="21">
        <v>1.0</v>
      </c>
      <c r="G60" s="21">
        <v>3138.0</v>
      </c>
      <c r="H60" s="22"/>
      <c r="I60" s="22"/>
      <c r="J60" s="21">
        <v>14.0</v>
      </c>
      <c r="K60" s="21">
        <v>390940.0</v>
      </c>
      <c r="L60" s="21">
        <v>1.0</v>
      </c>
      <c r="M60" s="21">
        <v>12510.0</v>
      </c>
      <c r="N60" s="21">
        <v>3.0</v>
      </c>
      <c r="O60" s="21">
        <v>8062.0</v>
      </c>
      <c r="P60" s="21">
        <v>13.0</v>
      </c>
      <c r="Q60" s="21">
        <v>37371.0</v>
      </c>
      <c r="R60" s="22"/>
      <c r="S60" s="22"/>
      <c r="T60" s="15">
        <f t="shared" ref="T60:U60" si="56">B60+D60+F60+H60+J60+L60+N60+P60+R60</f>
        <v>43</v>
      </c>
      <c r="U60" s="15">
        <f t="shared" si="56"/>
        <v>524912</v>
      </c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21" t="s">
        <v>251</v>
      </c>
      <c r="B61" s="22"/>
      <c r="C61" s="22"/>
      <c r="D61" s="22"/>
      <c r="E61" s="22"/>
      <c r="F61" s="22"/>
      <c r="G61" s="22"/>
      <c r="H61" s="22"/>
      <c r="I61" s="22"/>
      <c r="J61" s="21">
        <v>2.0</v>
      </c>
      <c r="K61" s="21">
        <v>32164.0</v>
      </c>
      <c r="L61" s="21">
        <v>1.0</v>
      </c>
      <c r="M61" s="21">
        <v>12300.0</v>
      </c>
      <c r="N61" s="21">
        <v>1.0</v>
      </c>
      <c r="O61" s="21">
        <v>3811.0</v>
      </c>
      <c r="P61" s="22"/>
      <c r="Q61" s="22"/>
      <c r="R61" s="22"/>
      <c r="S61" s="22"/>
      <c r="T61" s="15">
        <f t="shared" ref="T61:U61" si="57">B61+D61+F61+H61+J61+L61+N61+P61+R61</f>
        <v>4</v>
      </c>
      <c r="U61" s="15">
        <f t="shared" si="57"/>
        <v>48275</v>
      </c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21" t="s">
        <v>263</v>
      </c>
      <c r="B62" s="21">
        <v>2.0</v>
      </c>
      <c r="C62" s="21">
        <v>15778.0</v>
      </c>
      <c r="D62" s="21">
        <v>5.0</v>
      </c>
      <c r="E62" s="21">
        <v>10916.0</v>
      </c>
      <c r="F62" s="21">
        <v>4.0</v>
      </c>
      <c r="G62" s="21">
        <v>14677.0</v>
      </c>
      <c r="H62" s="22"/>
      <c r="I62" s="22"/>
      <c r="J62" s="21">
        <v>9.0</v>
      </c>
      <c r="K62" s="21">
        <v>188397.0</v>
      </c>
      <c r="L62" s="22"/>
      <c r="M62" s="22"/>
      <c r="N62" s="22"/>
      <c r="O62" s="22"/>
      <c r="P62" s="21">
        <v>4.0</v>
      </c>
      <c r="Q62" s="21">
        <v>8936.0</v>
      </c>
      <c r="R62" s="21">
        <v>1.0</v>
      </c>
      <c r="S62" s="21">
        <v>15167.0</v>
      </c>
      <c r="T62" s="15">
        <f t="shared" ref="T62:U62" si="58">B62+D62+F62+H62+J62+L62+N62+P62+R62</f>
        <v>25</v>
      </c>
      <c r="U62" s="15">
        <f t="shared" si="58"/>
        <v>253871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21" t="s">
        <v>269</v>
      </c>
      <c r="B63" s="21">
        <v>18.0</v>
      </c>
      <c r="C63" s="21">
        <v>1574716.0</v>
      </c>
      <c r="D63" s="21">
        <v>12.0</v>
      </c>
      <c r="E63" s="21">
        <v>40644.0</v>
      </c>
      <c r="F63" s="21">
        <v>2.0</v>
      </c>
      <c r="G63" s="21">
        <v>5062.0</v>
      </c>
      <c r="H63" s="22"/>
      <c r="I63" s="22"/>
      <c r="J63" s="21">
        <v>122.0</v>
      </c>
      <c r="K63" s="21">
        <v>2740115.0</v>
      </c>
      <c r="L63" s="22"/>
      <c r="M63" s="22"/>
      <c r="N63" s="22"/>
      <c r="O63" s="22"/>
      <c r="P63" s="21">
        <v>2.0</v>
      </c>
      <c r="Q63" s="21">
        <v>8534.0</v>
      </c>
      <c r="R63" s="21">
        <v>3.0</v>
      </c>
      <c r="S63" s="21">
        <v>1018181.0</v>
      </c>
      <c r="T63" s="15">
        <f t="shared" ref="T63:U63" si="59">B63+D63+F63+H63+J63+L63+N63+P63+R63</f>
        <v>159</v>
      </c>
      <c r="U63" s="15">
        <f t="shared" si="59"/>
        <v>5387252</v>
      </c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21" t="s">
        <v>275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1">
        <v>2.0</v>
      </c>
      <c r="Q64" s="21">
        <v>10923.0</v>
      </c>
      <c r="R64" s="22"/>
      <c r="S64" s="22"/>
      <c r="T64" s="15">
        <f t="shared" ref="T64:U64" si="60">B64+D64+F64+H64+J64+L64+N64+P64+R64</f>
        <v>2</v>
      </c>
      <c r="U64" s="15">
        <f t="shared" si="60"/>
        <v>10923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21" t="s">
        <v>279</v>
      </c>
      <c r="B65" s="21">
        <v>14.0</v>
      </c>
      <c r="C65" s="21">
        <v>144526.0</v>
      </c>
      <c r="D65" s="21">
        <v>4.0</v>
      </c>
      <c r="E65" s="21">
        <v>13512.0</v>
      </c>
      <c r="F65" s="21">
        <v>4.0</v>
      </c>
      <c r="G65" s="21">
        <v>14708.0</v>
      </c>
      <c r="H65" s="22"/>
      <c r="I65" s="22"/>
      <c r="J65" s="21">
        <v>83.0</v>
      </c>
      <c r="K65" s="21">
        <v>2015794.0</v>
      </c>
      <c r="L65" s="22"/>
      <c r="M65" s="22"/>
      <c r="N65" s="21">
        <v>4.0</v>
      </c>
      <c r="O65" s="21">
        <v>10187.0</v>
      </c>
      <c r="P65" s="21">
        <v>1.0</v>
      </c>
      <c r="Q65" s="21">
        <v>184.0</v>
      </c>
      <c r="R65" s="21">
        <v>1.0</v>
      </c>
      <c r="S65" s="21">
        <v>15759.0</v>
      </c>
      <c r="T65" s="15">
        <f t="shared" ref="T65:U65" si="61">B65+D65+F65+H65+J65+L65+N65+P65+R65</f>
        <v>111</v>
      </c>
      <c r="U65" s="15">
        <f t="shared" si="61"/>
        <v>2214670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21" t="s">
        <v>286</v>
      </c>
      <c r="B66" s="21">
        <v>28.0</v>
      </c>
      <c r="C66" s="21">
        <v>293497.0</v>
      </c>
      <c r="D66" s="21">
        <v>10.0</v>
      </c>
      <c r="E66" s="21">
        <v>33807.0</v>
      </c>
      <c r="F66" s="21">
        <v>4.0</v>
      </c>
      <c r="G66" s="21">
        <v>14783.0</v>
      </c>
      <c r="H66" s="22"/>
      <c r="I66" s="22"/>
      <c r="J66" s="21">
        <v>52.0</v>
      </c>
      <c r="K66" s="21">
        <v>1164075.0</v>
      </c>
      <c r="L66" s="21">
        <v>1.0</v>
      </c>
      <c r="M66" s="21">
        <v>12510.0</v>
      </c>
      <c r="N66" s="21">
        <v>12.0</v>
      </c>
      <c r="O66" s="21">
        <v>32995.0</v>
      </c>
      <c r="P66" s="21">
        <v>16.0</v>
      </c>
      <c r="Q66" s="21">
        <v>60439.0</v>
      </c>
      <c r="R66" s="21">
        <v>3.0</v>
      </c>
      <c r="S66" s="21">
        <v>46672.0</v>
      </c>
      <c r="T66" s="15">
        <f t="shared" ref="T66:U66" si="62">B66+D66+F66+H66+J66+L66+N66+P66+R66</f>
        <v>126</v>
      </c>
      <c r="U66" s="15">
        <f t="shared" si="62"/>
        <v>1658778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21" t="s">
        <v>290</v>
      </c>
      <c r="B67" s="21">
        <v>43.0</v>
      </c>
      <c r="C67" s="21">
        <v>352157.0</v>
      </c>
      <c r="D67" s="21">
        <v>25.0</v>
      </c>
      <c r="E67" s="21">
        <v>60109.0</v>
      </c>
      <c r="F67" s="21">
        <v>76.0</v>
      </c>
      <c r="G67" s="21">
        <v>207281.0</v>
      </c>
      <c r="H67" s="21">
        <v>1.0</v>
      </c>
      <c r="I67" s="21">
        <v>272.0</v>
      </c>
      <c r="J67" s="21">
        <v>51.0</v>
      </c>
      <c r="K67" s="21">
        <v>1359812.0</v>
      </c>
      <c r="L67" s="21">
        <v>2.0</v>
      </c>
      <c r="M67" s="21">
        <v>24802.0</v>
      </c>
      <c r="N67" s="21">
        <v>11.0</v>
      </c>
      <c r="O67" s="21">
        <v>113548.0</v>
      </c>
      <c r="P67" s="21">
        <v>41.0</v>
      </c>
      <c r="Q67" s="21">
        <v>125877.0</v>
      </c>
      <c r="R67" s="21">
        <v>2.0</v>
      </c>
      <c r="S67" s="21">
        <v>172893.0</v>
      </c>
      <c r="T67" s="15">
        <f t="shared" ref="T67:U67" si="63">B67+D67+F67+H67+J67+L67+N67+P67+R67</f>
        <v>252</v>
      </c>
      <c r="U67" s="15">
        <f t="shared" si="63"/>
        <v>2416751</v>
      </c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21" t="s">
        <v>295</v>
      </c>
      <c r="B68" s="21">
        <v>19.0</v>
      </c>
      <c r="C68" s="21">
        <v>162632.0</v>
      </c>
      <c r="D68" s="21">
        <v>13.0</v>
      </c>
      <c r="E68" s="21">
        <v>33036.0</v>
      </c>
      <c r="F68" s="21">
        <v>9.0</v>
      </c>
      <c r="G68" s="21">
        <v>39071.0</v>
      </c>
      <c r="H68" s="21">
        <v>1.0</v>
      </c>
      <c r="I68" s="21">
        <v>272.0</v>
      </c>
      <c r="J68" s="21">
        <v>84.0</v>
      </c>
      <c r="K68" s="21">
        <v>1893232.0</v>
      </c>
      <c r="L68" s="21">
        <v>1.0</v>
      </c>
      <c r="M68" s="21">
        <v>12504.0</v>
      </c>
      <c r="N68" s="21">
        <v>10.0</v>
      </c>
      <c r="O68" s="21">
        <v>43301.0</v>
      </c>
      <c r="P68" s="21">
        <v>13.0</v>
      </c>
      <c r="Q68" s="21">
        <v>34249.0</v>
      </c>
      <c r="R68" s="21">
        <v>3.0</v>
      </c>
      <c r="S68" s="21">
        <v>621786.0</v>
      </c>
      <c r="T68" s="15">
        <f t="shared" ref="T68:U68" si="64">B68+D68+F68+H68+J68+L68+N68+P68+R68</f>
        <v>153</v>
      </c>
      <c r="U68" s="15">
        <f t="shared" si="64"/>
        <v>2840083</v>
      </c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21" t="s">
        <v>301</v>
      </c>
      <c r="B69" s="21">
        <v>7.0</v>
      </c>
      <c r="C69" s="21">
        <v>119990.0</v>
      </c>
      <c r="D69" s="21">
        <v>1.0</v>
      </c>
      <c r="E69" s="21">
        <v>10746.0</v>
      </c>
      <c r="F69" s="21">
        <v>4.0</v>
      </c>
      <c r="G69" s="21">
        <v>20115.0</v>
      </c>
      <c r="H69" s="22"/>
      <c r="I69" s="22"/>
      <c r="J69" s="21">
        <v>22.0</v>
      </c>
      <c r="K69" s="21">
        <v>606133.0</v>
      </c>
      <c r="L69" s="21">
        <v>1.0</v>
      </c>
      <c r="M69" s="21">
        <v>12420.0</v>
      </c>
      <c r="N69" s="21">
        <v>1.0</v>
      </c>
      <c r="O69" s="21">
        <v>3746.0</v>
      </c>
      <c r="P69" s="21">
        <v>2.0</v>
      </c>
      <c r="Q69" s="21">
        <v>9168.0</v>
      </c>
      <c r="R69" s="21">
        <v>2.0</v>
      </c>
      <c r="S69" s="21">
        <v>213421.0</v>
      </c>
      <c r="T69" s="15">
        <f t="shared" ref="T69:U69" si="65">B69+D69+F69+H69+J69+L69+N69+P69+R69</f>
        <v>40</v>
      </c>
      <c r="U69" s="15">
        <f t="shared" si="65"/>
        <v>995739</v>
      </c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21" t="s">
        <v>307</v>
      </c>
      <c r="B70" s="21">
        <v>8.0</v>
      </c>
      <c r="C70" s="21">
        <v>63198.0</v>
      </c>
      <c r="D70" s="21">
        <v>1.0</v>
      </c>
      <c r="E70" s="21">
        <v>3582.0</v>
      </c>
      <c r="F70" s="21">
        <v>4.0</v>
      </c>
      <c r="G70" s="21">
        <v>14668.0</v>
      </c>
      <c r="H70" s="22"/>
      <c r="I70" s="22"/>
      <c r="J70" s="21">
        <v>9.0</v>
      </c>
      <c r="K70" s="21">
        <v>327679.0</v>
      </c>
      <c r="L70" s="21">
        <v>1.0</v>
      </c>
      <c r="M70" s="21">
        <v>12420.0</v>
      </c>
      <c r="N70" s="21">
        <v>1.0</v>
      </c>
      <c r="O70" s="21">
        <v>3746.0</v>
      </c>
      <c r="P70" s="21">
        <v>2.0</v>
      </c>
      <c r="Q70" s="21">
        <v>3655.0</v>
      </c>
      <c r="R70" s="21">
        <v>2.0</v>
      </c>
      <c r="S70" s="21">
        <v>213462.0</v>
      </c>
      <c r="T70" s="15">
        <f t="shared" ref="T70:U70" si="66">B70+D70+F70+H70+J70+L70+N70+P70+R70</f>
        <v>28</v>
      </c>
      <c r="U70" s="15">
        <f t="shared" si="66"/>
        <v>642410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21" t="s">
        <v>311</v>
      </c>
      <c r="B71" s="21">
        <v>4.0</v>
      </c>
      <c r="C71" s="21">
        <v>8921.0</v>
      </c>
      <c r="D71" s="22"/>
      <c r="E71" s="22"/>
      <c r="F71" s="22"/>
      <c r="G71" s="22"/>
      <c r="H71" s="22"/>
      <c r="I71" s="22"/>
      <c r="J71" s="21">
        <v>4.0</v>
      </c>
      <c r="K71" s="21">
        <v>104335.0</v>
      </c>
      <c r="L71" s="21">
        <v>1.0</v>
      </c>
      <c r="M71" s="21">
        <v>12467.0</v>
      </c>
      <c r="N71" s="21">
        <v>10.0</v>
      </c>
      <c r="O71" s="21">
        <v>26755.0</v>
      </c>
      <c r="P71" s="21">
        <v>3.0</v>
      </c>
      <c r="Q71" s="21">
        <v>10326.0</v>
      </c>
      <c r="R71" s="22"/>
      <c r="S71" s="22"/>
      <c r="T71" s="15">
        <f t="shared" ref="T71:U71" si="67">B71+D71+F71+H71+J71+L71+N71+P71+R71</f>
        <v>22</v>
      </c>
      <c r="U71" s="15">
        <f t="shared" si="67"/>
        <v>162804</v>
      </c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21" t="s">
        <v>314</v>
      </c>
      <c r="B72" s="21">
        <v>5.0</v>
      </c>
      <c r="C72" s="21">
        <v>54810.0</v>
      </c>
      <c r="D72" s="21">
        <v>10.0</v>
      </c>
      <c r="E72" s="21">
        <v>33281.0</v>
      </c>
      <c r="F72" s="21">
        <v>4.0</v>
      </c>
      <c r="G72" s="21">
        <v>14989.0</v>
      </c>
      <c r="H72" s="22"/>
      <c r="I72" s="22"/>
      <c r="J72" s="21">
        <v>27.0</v>
      </c>
      <c r="K72" s="21">
        <v>577172.0</v>
      </c>
      <c r="L72" s="21">
        <v>1.0</v>
      </c>
      <c r="M72" s="21">
        <v>12485.0</v>
      </c>
      <c r="N72" s="21">
        <v>4.0</v>
      </c>
      <c r="O72" s="21">
        <v>11748.0</v>
      </c>
      <c r="P72" s="21">
        <v>7.0</v>
      </c>
      <c r="Q72" s="21">
        <v>28176.0</v>
      </c>
      <c r="R72" s="21">
        <v>1.0</v>
      </c>
      <c r="S72" s="21">
        <v>379632.0</v>
      </c>
      <c r="T72" s="15">
        <f t="shared" ref="T72:U72" si="68">B72+D72+F72+H72+J72+L72+N72+P72+R72</f>
        <v>59</v>
      </c>
      <c r="U72" s="15">
        <f t="shared" si="68"/>
        <v>1112293</v>
      </c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21" t="s">
        <v>319</v>
      </c>
      <c r="B73" s="21">
        <v>22.0</v>
      </c>
      <c r="C73" s="21">
        <v>495640.0</v>
      </c>
      <c r="D73" s="21">
        <v>5.0</v>
      </c>
      <c r="E73" s="21">
        <v>8826.0</v>
      </c>
      <c r="F73" s="21">
        <v>4.0</v>
      </c>
      <c r="G73" s="21">
        <v>33470.0</v>
      </c>
      <c r="H73" s="22"/>
      <c r="I73" s="22"/>
      <c r="J73" s="21">
        <v>3.0</v>
      </c>
      <c r="K73" s="21">
        <v>91014.0</v>
      </c>
      <c r="L73" s="22"/>
      <c r="M73" s="22"/>
      <c r="N73" s="21">
        <v>4.0</v>
      </c>
      <c r="O73" s="21">
        <v>52210.0</v>
      </c>
      <c r="P73" s="21">
        <v>6.0</v>
      </c>
      <c r="Q73" s="21">
        <v>70198.0</v>
      </c>
      <c r="R73" s="21">
        <v>8.0</v>
      </c>
      <c r="S73" s="21">
        <v>363960.0</v>
      </c>
      <c r="T73" s="15">
        <f t="shared" ref="T73:U73" si="69">B73+D73+F73+H73+J73+L73+N73+P73+R73</f>
        <v>52</v>
      </c>
      <c r="U73" s="15">
        <f t="shared" si="69"/>
        <v>1115318</v>
      </c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21" t="s">
        <v>323</v>
      </c>
      <c r="B74" s="21">
        <v>8.0</v>
      </c>
      <c r="C74" s="21">
        <v>162076.0</v>
      </c>
      <c r="D74" s="22"/>
      <c r="E74" s="22"/>
      <c r="F74" s="21">
        <v>5.0</v>
      </c>
      <c r="G74" s="21">
        <v>36495.0</v>
      </c>
      <c r="H74" s="21">
        <v>1.0</v>
      </c>
      <c r="I74" s="21">
        <v>544.0</v>
      </c>
      <c r="J74" s="21">
        <v>12.0</v>
      </c>
      <c r="K74" s="21">
        <v>63198.0</v>
      </c>
      <c r="L74" s="22"/>
      <c r="M74" s="22"/>
      <c r="N74" s="21">
        <v>11.0</v>
      </c>
      <c r="O74" s="21">
        <v>24803.0</v>
      </c>
      <c r="P74" s="22"/>
      <c r="Q74" s="22"/>
      <c r="R74" s="21">
        <v>3.0</v>
      </c>
      <c r="S74" s="21">
        <v>850918.0</v>
      </c>
      <c r="T74" s="15">
        <f t="shared" ref="T74:U74" si="70">B74+D74+F74+H74+J74+L74+N74+P74+R74</f>
        <v>40</v>
      </c>
      <c r="U74" s="15">
        <f t="shared" si="70"/>
        <v>1138034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21" t="s">
        <v>324</v>
      </c>
      <c r="B75" s="21">
        <v>12.0</v>
      </c>
      <c r="C75" s="21">
        <v>177628.0</v>
      </c>
      <c r="D75" s="21">
        <v>2.0</v>
      </c>
      <c r="E75" s="21" t="s">
        <v>855</v>
      </c>
      <c r="F75" s="21">
        <v>4.0</v>
      </c>
      <c r="G75" s="21">
        <v>32958.0</v>
      </c>
      <c r="H75" s="21">
        <v>1.0</v>
      </c>
      <c r="I75" s="21">
        <v>544.0</v>
      </c>
      <c r="J75" s="21">
        <v>11.0</v>
      </c>
      <c r="K75" s="21">
        <v>50156.0</v>
      </c>
      <c r="L75" s="22"/>
      <c r="M75" s="22"/>
      <c r="N75" s="21">
        <v>9.0</v>
      </c>
      <c r="O75" s="21">
        <v>21436.0</v>
      </c>
      <c r="P75" s="21">
        <v>5.0</v>
      </c>
      <c r="Q75" s="21">
        <v>28158.0</v>
      </c>
      <c r="R75" s="21">
        <v>2.0</v>
      </c>
      <c r="S75" s="21">
        <v>288734.0</v>
      </c>
      <c r="T75" s="15">
        <f t="shared" ref="T75:U75" si="71">B75+D75+F75+H75+J75+L75+N75+P75+R75</f>
        <v>46</v>
      </c>
      <c r="U75" s="15" t="str">
        <f t="shared" si="71"/>
        <v>#VALUE!</v>
      </c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21" t="s">
        <v>325</v>
      </c>
      <c r="B76" s="21">
        <v>26.0</v>
      </c>
      <c r="C76" s="21">
        <v>447008.0</v>
      </c>
      <c r="D76" s="21">
        <v>14.0</v>
      </c>
      <c r="E76" s="21">
        <v>9748.0</v>
      </c>
      <c r="F76" s="21">
        <v>2.0</v>
      </c>
      <c r="G76" s="21">
        <v>10800.0</v>
      </c>
      <c r="H76" s="22"/>
      <c r="I76" s="22"/>
      <c r="J76" s="21">
        <v>77.0</v>
      </c>
      <c r="K76" s="21">
        <v>798690.0</v>
      </c>
      <c r="L76" s="22"/>
      <c r="M76" s="22"/>
      <c r="N76" s="22"/>
      <c r="O76" s="22"/>
      <c r="P76" s="21">
        <v>6.0</v>
      </c>
      <c r="Q76" s="21">
        <v>264105.0</v>
      </c>
      <c r="R76" s="21">
        <v>1.0</v>
      </c>
      <c r="S76" s="21">
        <v>13602.0</v>
      </c>
      <c r="T76" s="15">
        <f t="shared" ref="T76:U76" si="72">B76+D76+F76+H76+J76+L76+N76+P76+R76</f>
        <v>126</v>
      </c>
      <c r="U76" s="15">
        <f t="shared" si="72"/>
        <v>1543953</v>
      </c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21" t="s">
        <v>326</v>
      </c>
      <c r="B77" s="21">
        <v>21.0</v>
      </c>
      <c r="C77" s="21">
        <v>400625.0</v>
      </c>
      <c r="D77" s="21">
        <v>2.0</v>
      </c>
      <c r="E77" s="21">
        <v>1306.0</v>
      </c>
      <c r="F77" s="21">
        <v>11.0</v>
      </c>
      <c r="G77" s="21">
        <v>89443.0</v>
      </c>
      <c r="H77" s="21">
        <v>1.0</v>
      </c>
      <c r="I77" s="21">
        <v>544.0</v>
      </c>
      <c r="J77" s="21">
        <v>31.0</v>
      </c>
      <c r="K77" s="21">
        <v>142887.0</v>
      </c>
      <c r="L77" s="21">
        <v>1.0</v>
      </c>
      <c r="M77" s="21">
        <v>24998.0</v>
      </c>
      <c r="N77" s="21">
        <v>7.0</v>
      </c>
      <c r="O77" s="21">
        <v>118653.0</v>
      </c>
      <c r="P77" s="21">
        <v>1.0</v>
      </c>
      <c r="Q77" s="21">
        <v>4725.0</v>
      </c>
      <c r="R77" s="21">
        <v>13.0</v>
      </c>
      <c r="S77" s="21">
        <v>1771615.0</v>
      </c>
      <c r="T77" s="15">
        <f t="shared" ref="T77:U77" si="73">B77+D77+F77+H77+J77+L77+N77+P77+R77</f>
        <v>88</v>
      </c>
      <c r="U77" s="15">
        <f t="shared" si="73"/>
        <v>2554796</v>
      </c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21" t="s">
        <v>327</v>
      </c>
      <c r="B78" s="21">
        <v>51.0</v>
      </c>
      <c r="C78" s="21">
        <v>2686680.0</v>
      </c>
      <c r="D78" s="21">
        <v>11.0</v>
      </c>
      <c r="E78" s="21">
        <v>4836.0</v>
      </c>
      <c r="F78" s="21">
        <v>12.0</v>
      </c>
      <c r="G78" s="21">
        <v>102144.0</v>
      </c>
      <c r="H78" s="21">
        <v>1.0</v>
      </c>
      <c r="I78" s="21">
        <v>544.0</v>
      </c>
      <c r="J78" s="21">
        <v>94.0</v>
      </c>
      <c r="K78" s="21">
        <v>793096.0</v>
      </c>
      <c r="L78" s="21">
        <v>2.0</v>
      </c>
      <c r="M78" s="21">
        <v>49844.0</v>
      </c>
      <c r="N78" s="21">
        <v>12.0</v>
      </c>
      <c r="O78" s="21">
        <v>275032.0</v>
      </c>
      <c r="P78" s="21">
        <v>7.0</v>
      </c>
      <c r="Q78" s="21">
        <v>218026.0</v>
      </c>
      <c r="R78" s="21">
        <v>3.0</v>
      </c>
      <c r="S78" s="21">
        <v>586304.0</v>
      </c>
      <c r="T78" s="15">
        <f t="shared" ref="T78:U78" si="74">B78+D78+F78+H78+J78+L78+N78+P78+R78</f>
        <v>193</v>
      </c>
      <c r="U78" s="15">
        <f t="shared" si="74"/>
        <v>4716506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21" t="s">
        <v>328</v>
      </c>
      <c r="B79" s="21">
        <v>23.0</v>
      </c>
      <c r="C79" s="21">
        <v>632945.0</v>
      </c>
      <c r="D79" s="21">
        <v>23.0</v>
      </c>
      <c r="E79" s="21">
        <v>93630.0</v>
      </c>
      <c r="F79" s="21">
        <v>26.0</v>
      </c>
      <c r="G79" s="21">
        <v>220607.0</v>
      </c>
      <c r="H79" s="21">
        <v>1.0</v>
      </c>
      <c r="I79" s="21">
        <v>544.0</v>
      </c>
      <c r="J79" s="21">
        <v>13.0</v>
      </c>
      <c r="K79" s="21">
        <v>156528.0</v>
      </c>
      <c r="L79" s="22"/>
      <c r="M79" s="22"/>
      <c r="N79" s="21">
        <v>11.0</v>
      </c>
      <c r="O79" s="21">
        <v>154995.0</v>
      </c>
      <c r="P79" s="21">
        <v>13.0</v>
      </c>
      <c r="Q79" s="21">
        <v>289242.0</v>
      </c>
      <c r="R79" s="21">
        <v>4.0</v>
      </c>
      <c r="S79" s="21">
        <v>717346.0</v>
      </c>
      <c r="T79" s="15">
        <f t="shared" ref="T79:U79" si="75">B79+D79+F79+H79+J79+L79+N79+P79+R79</f>
        <v>114</v>
      </c>
      <c r="U79" s="15">
        <f t="shared" si="75"/>
        <v>2265837</v>
      </c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21" t="s">
        <v>330</v>
      </c>
      <c r="B80" s="21">
        <v>18.0</v>
      </c>
      <c r="C80" s="21">
        <v>372002.0</v>
      </c>
      <c r="D80" s="21">
        <v>19.0</v>
      </c>
      <c r="E80" s="21">
        <v>25776.0</v>
      </c>
      <c r="F80" s="21">
        <v>22.0</v>
      </c>
      <c r="G80" s="21">
        <v>165194.0</v>
      </c>
      <c r="H80" s="22"/>
      <c r="I80" s="22"/>
      <c r="J80" s="21">
        <v>54.0</v>
      </c>
      <c r="K80" s="21">
        <v>489059.0</v>
      </c>
      <c r="L80" s="21">
        <v>2.0</v>
      </c>
      <c r="M80" s="21">
        <v>40160.0</v>
      </c>
      <c r="N80" s="21">
        <v>9.0</v>
      </c>
      <c r="O80" s="21">
        <v>219048.0</v>
      </c>
      <c r="P80" s="21">
        <v>26.0</v>
      </c>
      <c r="Q80" s="21">
        <v>417318.0</v>
      </c>
      <c r="R80" s="21">
        <v>10.0</v>
      </c>
      <c r="S80" s="21">
        <v>1989530.0</v>
      </c>
      <c r="T80" s="15">
        <f t="shared" ref="T80:U80" si="76">B80+D80+F80+H80+J80+L80+N80+P80+R80</f>
        <v>160</v>
      </c>
      <c r="U80" s="15">
        <f t="shared" si="76"/>
        <v>3718087</v>
      </c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21" t="s">
        <v>331</v>
      </c>
      <c r="B81" s="22"/>
      <c r="C81" s="22"/>
      <c r="D81" s="21">
        <v>1.0</v>
      </c>
      <c r="E81" s="21">
        <v>2669.0</v>
      </c>
      <c r="F81" s="21">
        <v>1.0</v>
      </c>
      <c r="G81" s="21">
        <v>2132.0</v>
      </c>
      <c r="H81" s="22"/>
      <c r="I81" s="22"/>
      <c r="J81" s="21">
        <v>1.0</v>
      </c>
      <c r="K81" s="21">
        <v>20471.0</v>
      </c>
      <c r="L81" s="22"/>
      <c r="M81" s="22"/>
      <c r="N81" s="22"/>
      <c r="O81" s="22"/>
      <c r="P81" s="21">
        <v>3.0</v>
      </c>
      <c r="Q81" s="21">
        <v>3194.0</v>
      </c>
      <c r="R81" s="22"/>
      <c r="S81" s="22"/>
      <c r="T81" s="15">
        <f t="shared" ref="T81:U81" si="77">B81+D81+F81+H81+J81+L81+N81+P81+R81</f>
        <v>6</v>
      </c>
      <c r="U81" s="15">
        <f t="shared" si="77"/>
        <v>28466</v>
      </c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21" t="s">
        <v>334</v>
      </c>
      <c r="B82" s="21">
        <v>7.0</v>
      </c>
      <c r="C82" s="21">
        <v>63445.0</v>
      </c>
      <c r="D82" s="21">
        <v>3.0</v>
      </c>
      <c r="E82" s="21">
        <v>9647.0</v>
      </c>
      <c r="F82" s="21">
        <v>4.0</v>
      </c>
      <c r="G82" s="21">
        <v>14624.0</v>
      </c>
      <c r="H82" s="22"/>
      <c r="I82" s="22"/>
      <c r="J82" s="21">
        <v>6.0</v>
      </c>
      <c r="K82" s="21">
        <v>169609.0</v>
      </c>
      <c r="L82" s="22"/>
      <c r="M82" s="22"/>
      <c r="N82" s="21">
        <v>5.0</v>
      </c>
      <c r="O82" s="21">
        <v>9364.0</v>
      </c>
      <c r="P82" s="21">
        <v>4.0</v>
      </c>
      <c r="Q82" s="21">
        <v>12393.0</v>
      </c>
      <c r="R82" s="21">
        <v>2.0</v>
      </c>
      <c r="S82" s="21">
        <v>15307.0</v>
      </c>
      <c r="T82" s="15">
        <f t="shared" ref="T82:U82" si="78">B82+D82+F82+H82+J82+L82+N82+P82+R82</f>
        <v>31</v>
      </c>
      <c r="U82" s="15">
        <f t="shared" si="78"/>
        <v>294389</v>
      </c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21" t="s">
        <v>338</v>
      </c>
      <c r="B83" s="22"/>
      <c r="C83" s="22"/>
      <c r="D83" s="22"/>
      <c r="E83" s="22"/>
      <c r="F83" s="22"/>
      <c r="G83" s="22"/>
      <c r="H83" s="22"/>
      <c r="I83" s="22"/>
      <c r="J83" s="21">
        <v>1.0</v>
      </c>
      <c r="K83" s="21">
        <v>20471.0</v>
      </c>
      <c r="L83" s="22"/>
      <c r="M83" s="22"/>
      <c r="N83" s="22"/>
      <c r="O83" s="22"/>
      <c r="P83" s="22"/>
      <c r="Q83" s="22"/>
      <c r="R83" s="22"/>
      <c r="S83" s="22"/>
      <c r="T83" s="15">
        <f t="shared" ref="T83:U83" si="79">B83+D83+F83+H83+J83+L83+N83+P83+R83</f>
        <v>1</v>
      </c>
      <c r="U83" s="15">
        <f t="shared" si="79"/>
        <v>20471</v>
      </c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21" t="s">
        <v>342</v>
      </c>
      <c r="B84" s="22"/>
      <c r="C84" s="22"/>
      <c r="D84" s="22"/>
      <c r="E84" s="22"/>
      <c r="F84" s="22"/>
      <c r="G84" s="22"/>
      <c r="H84" s="22"/>
      <c r="I84" s="22"/>
      <c r="J84" s="21">
        <v>3.0</v>
      </c>
      <c r="K84" s="21">
        <v>20471.0</v>
      </c>
      <c r="L84" s="22"/>
      <c r="M84" s="22"/>
      <c r="N84" s="22"/>
      <c r="O84" s="22"/>
      <c r="P84" s="21">
        <v>1.0</v>
      </c>
      <c r="Q84" s="21">
        <v>939.0</v>
      </c>
      <c r="R84" s="22"/>
      <c r="S84" s="22"/>
      <c r="T84" s="15">
        <f t="shared" ref="T84:U84" si="80">B84+D84+F84+H84+J84+L84+N84+P84+R84</f>
        <v>4</v>
      </c>
      <c r="U84" s="15">
        <f t="shared" si="80"/>
        <v>21410</v>
      </c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21" t="s">
        <v>346</v>
      </c>
      <c r="B85" s="22"/>
      <c r="C85" s="22"/>
      <c r="D85" s="21">
        <v>3.0</v>
      </c>
      <c r="E85" s="21">
        <v>2251.0</v>
      </c>
      <c r="F85" s="21">
        <v>1.0</v>
      </c>
      <c r="G85" s="21">
        <v>5063.0</v>
      </c>
      <c r="H85" s="22"/>
      <c r="I85" s="22"/>
      <c r="J85" s="21">
        <v>1.0</v>
      </c>
      <c r="K85" s="21">
        <v>20471.0</v>
      </c>
      <c r="L85" s="22"/>
      <c r="M85" s="22"/>
      <c r="N85" s="22"/>
      <c r="O85" s="22"/>
      <c r="P85" s="21">
        <v>4.0</v>
      </c>
      <c r="Q85" s="21">
        <v>9898.0</v>
      </c>
      <c r="R85" s="22"/>
      <c r="S85" s="22"/>
      <c r="T85" s="15">
        <f t="shared" ref="T85:U85" si="81">B85+D85+F85+H85+J85+L85+N85+P85+R85</f>
        <v>9</v>
      </c>
      <c r="U85" s="15">
        <f t="shared" si="81"/>
        <v>37683</v>
      </c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21" t="s">
        <v>355</v>
      </c>
      <c r="B86" s="21">
        <v>12.0</v>
      </c>
      <c r="C86" s="21">
        <v>100566.0</v>
      </c>
      <c r="D86" s="21">
        <v>6.0</v>
      </c>
      <c r="E86" s="21">
        <v>19828.0</v>
      </c>
      <c r="F86" s="21">
        <v>7.0</v>
      </c>
      <c r="G86" s="21">
        <v>23735.0</v>
      </c>
      <c r="H86" s="22"/>
      <c r="I86" s="22"/>
      <c r="J86" s="21">
        <v>26.0</v>
      </c>
      <c r="K86" s="21">
        <v>695629.0</v>
      </c>
      <c r="L86" s="21">
        <v>1.0</v>
      </c>
      <c r="M86" s="21">
        <v>12252.0</v>
      </c>
      <c r="N86" s="21">
        <v>12.0</v>
      </c>
      <c r="O86" s="21">
        <v>33401.0</v>
      </c>
      <c r="P86" s="21">
        <v>11.0</v>
      </c>
      <c r="Q86" s="21">
        <v>29610.0</v>
      </c>
      <c r="R86" s="21">
        <v>1.0</v>
      </c>
      <c r="S86" s="21">
        <v>15492.0</v>
      </c>
      <c r="T86" s="15">
        <f t="shared" ref="T86:U86" si="82">B86+D86+F86+H86+J86+L86+N86+P86+R86</f>
        <v>76</v>
      </c>
      <c r="U86" s="15">
        <f t="shared" si="82"/>
        <v>930513</v>
      </c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21" t="s">
        <v>361</v>
      </c>
      <c r="B87" s="21">
        <v>55.0</v>
      </c>
      <c r="C87" s="21">
        <v>1073643.0</v>
      </c>
      <c r="D87" s="22"/>
      <c r="E87" s="22"/>
      <c r="F87" s="21">
        <v>13.0</v>
      </c>
      <c r="G87" s="21">
        <v>89962.0</v>
      </c>
      <c r="H87" s="22"/>
      <c r="I87" s="22"/>
      <c r="J87" s="21">
        <v>112.0</v>
      </c>
      <c r="K87" s="21">
        <v>1146968.0</v>
      </c>
      <c r="L87" s="22"/>
      <c r="M87" s="22"/>
      <c r="N87" s="21">
        <v>6.0</v>
      </c>
      <c r="O87" s="21">
        <v>28636.0</v>
      </c>
      <c r="P87" s="21">
        <v>8.0</v>
      </c>
      <c r="Q87" s="21">
        <v>22492.0</v>
      </c>
      <c r="R87" s="21">
        <v>2.0</v>
      </c>
      <c r="S87" s="21">
        <v>348408.0</v>
      </c>
      <c r="T87" s="15">
        <f t="shared" ref="T87:U87" si="83">B87+D87+F87+H87+J87+L87+N87+P87+R87</f>
        <v>196</v>
      </c>
      <c r="U87" s="15">
        <f t="shared" si="83"/>
        <v>2710109</v>
      </c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21" t="s">
        <v>349</v>
      </c>
      <c r="B88" s="22"/>
      <c r="C88" s="22"/>
      <c r="D88" s="22"/>
      <c r="E88" s="22"/>
      <c r="F88" s="22"/>
      <c r="G88" s="22"/>
      <c r="H88" s="22"/>
      <c r="I88" s="22"/>
      <c r="J88" s="21">
        <v>2.0</v>
      </c>
      <c r="K88" s="21">
        <v>31680.0</v>
      </c>
      <c r="L88" s="22"/>
      <c r="M88" s="22"/>
      <c r="N88" s="22"/>
      <c r="O88" s="22"/>
      <c r="P88" s="22"/>
      <c r="Q88" s="22"/>
      <c r="R88" s="22"/>
      <c r="S88" s="22"/>
      <c r="T88" s="15">
        <f t="shared" ref="T88:U88" si="84">B88+D88+F88+H88+J88+L88+N88+P88+R88</f>
        <v>2</v>
      </c>
      <c r="U88" s="15">
        <f t="shared" si="84"/>
        <v>31680</v>
      </c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21" t="s">
        <v>352</v>
      </c>
      <c r="B89" s="22"/>
      <c r="C89" s="22"/>
      <c r="D89" s="22"/>
      <c r="E89" s="22"/>
      <c r="F89" s="22"/>
      <c r="G89" s="22"/>
      <c r="H89" s="22"/>
      <c r="I89" s="22"/>
      <c r="J89" s="21">
        <v>3.0</v>
      </c>
      <c r="K89" s="21">
        <v>32043.0</v>
      </c>
      <c r="L89" s="22"/>
      <c r="M89" s="22"/>
      <c r="N89" s="22"/>
      <c r="O89" s="22"/>
      <c r="P89" s="22"/>
      <c r="Q89" s="22"/>
      <c r="R89" s="22"/>
      <c r="S89" s="22"/>
      <c r="T89" s="15">
        <f t="shared" ref="T89:U89" si="85">B89+D89+F89+H89+J89+L89+N89+P89+R89</f>
        <v>3</v>
      </c>
      <c r="U89" s="15">
        <f t="shared" si="85"/>
        <v>32043</v>
      </c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21" t="s">
        <v>362</v>
      </c>
      <c r="B90" s="21">
        <v>6.0</v>
      </c>
      <c r="C90" s="21">
        <v>58452.0</v>
      </c>
      <c r="D90" s="21">
        <v>2.0</v>
      </c>
      <c r="E90" s="21">
        <v>7165.0</v>
      </c>
      <c r="F90" s="22"/>
      <c r="G90" s="22"/>
      <c r="H90" s="22"/>
      <c r="I90" s="22"/>
      <c r="J90" s="21">
        <v>1.0</v>
      </c>
      <c r="K90" s="21">
        <v>39941.0</v>
      </c>
      <c r="L90" s="21">
        <v>2.0</v>
      </c>
      <c r="M90" s="21">
        <v>23441.0</v>
      </c>
      <c r="N90" s="21">
        <v>2.0</v>
      </c>
      <c r="O90" s="21">
        <v>6739.0</v>
      </c>
      <c r="P90" s="21">
        <v>1.0</v>
      </c>
      <c r="Q90" s="21">
        <v>4676.0</v>
      </c>
      <c r="R90" s="22"/>
      <c r="S90" s="22"/>
      <c r="T90" s="15">
        <f t="shared" ref="T90:U90" si="86">B90+D90+F90+H90+J90+L90+N90+P90+R90</f>
        <v>14</v>
      </c>
      <c r="U90" s="15">
        <f t="shared" si="86"/>
        <v>140414</v>
      </c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21" t="s">
        <v>365</v>
      </c>
      <c r="B91" s="21">
        <v>2.0</v>
      </c>
      <c r="C91" s="21">
        <v>18663.0</v>
      </c>
      <c r="D91" s="22"/>
      <c r="E91" s="22"/>
      <c r="F91" s="22"/>
      <c r="G91" s="22"/>
      <c r="H91" s="22"/>
      <c r="I91" s="22"/>
      <c r="J91" s="22"/>
      <c r="K91" s="22"/>
      <c r="L91" s="21">
        <v>1.0</v>
      </c>
      <c r="M91" s="21">
        <v>11719.0</v>
      </c>
      <c r="N91" s="22"/>
      <c r="O91" s="22"/>
      <c r="P91" s="22"/>
      <c r="Q91" s="22"/>
      <c r="R91" s="22"/>
      <c r="S91" s="22"/>
      <c r="T91" s="15">
        <f t="shared" ref="T91:U91" si="87">B91+D91+F91+H91+J91+L91+N91+P91+R91</f>
        <v>3</v>
      </c>
      <c r="U91" s="15">
        <f t="shared" si="87"/>
        <v>30382</v>
      </c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21" t="s">
        <v>372</v>
      </c>
      <c r="B92" s="22"/>
      <c r="C92" s="22"/>
      <c r="D92" s="22"/>
      <c r="E92" s="22"/>
      <c r="F92" s="22"/>
      <c r="G92" s="22"/>
      <c r="H92" s="22"/>
      <c r="I92" s="22"/>
      <c r="J92" s="21">
        <v>1.0</v>
      </c>
      <c r="K92" s="21">
        <v>20471.0</v>
      </c>
      <c r="L92" s="22"/>
      <c r="M92" s="22"/>
      <c r="N92" s="22"/>
      <c r="O92" s="22"/>
      <c r="P92" s="22"/>
      <c r="Q92" s="22"/>
      <c r="R92" s="22"/>
      <c r="S92" s="22"/>
      <c r="T92" s="15">
        <f t="shared" ref="T92:U92" si="88">B92+D92+F92+H92+J92+L92+N92+P92+R92</f>
        <v>1</v>
      </c>
      <c r="U92" s="15">
        <f t="shared" si="88"/>
        <v>20471</v>
      </c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21" t="s">
        <v>398</v>
      </c>
      <c r="B93" s="22"/>
      <c r="C93" s="22"/>
      <c r="D93" s="22"/>
      <c r="E93" s="22"/>
      <c r="F93" s="22"/>
      <c r="G93" s="22"/>
      <c r="H93" s="22"/>
      <c r="I93" s="22"/>
      <c r="J93" s="21">
        <v>2.0</v>
      </c>
      <c r="K93" s="21">
        <v>40942.0</v>
      </c>
      <c r="L93" s="22"/>
      <c r="M93" s="22"/>
      <c r="N93" s="22"/>
      <c r="O93" s="22"/>
      <c r="P93" s="21">
        <v>1.0</v>
      </c>
      <c r="Q93" s="21">
        <v>964.0</v>
      </c>
      <c r="R93" s="22"/>
      <c r="S93" s="22"/>
      <c r="T93" s="15">
        <f t="shared" ref="T93:U93" si="89">B93+D93+F93+H93+J93+L93+N93+P93+R93</f>
        <v>3</v>
      </c>
      <c r="U93" s="15">
        <f t="shared" si="89"/>
        <v>41906</v>
      </c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21" t="s">
        <v>368</v>
      </c>
      <c r="B94" s="22"/>
      <c r="C94" s="22"/>
      <c r="D94" s="22"/>
      <c r="E94" s="22"/>
      <c r="F94" s="21">
        <v>1.0</v>
      </c>
      <c r="G94" s="21">
        <v>5392.0</v>
      </c>
      <c r="H94" s="22"/>
      <c r="I94" s="22"/>
      <c r="J94" s="22"/>
      <c r="K94" s="22"/>
      <c r="L94" s="22"/>
      <c r="M94" s="22"/>
      <c r="N94" s="22"/>
      <c r="O94" s="22"/>
      <c r="P94" s="21">
        <v>1.0</v>
      </c>
      <c r="Q94" s="21">
        <v>5042.0</v>
      </c>
      <c r="R94" s="22"/>
      <c r="S94" s="22"/>
      <c r="T94" s="15">
        <f t="shared" ref="T94:U94" si="90">B94+D94+F94+H94+J94+L94+N94+P94+R94</f>
        <v>2</v>
      </c>
      <c r="U94" s="15">
        <f t="shared" si="90"/>
        <v>10434</v>
      </c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21" t="s">
        <v>377</v>
      </c>
      <c r="B95" s="21">
        <v>2.0</v>
      </c>
      <c r="C95" s="21">
        <v>36.0</v>
      </c>
      <c r="D95" s="22"/>
      <c r="E95" s="22"/>
      <c r="F95" s="22"/>
      <c r="G95" s="22"/>
      <c r="H95" s="22"/>
      <c r="I95" s="22"/>
      <c r="J95" s="21">
        <v>5.0</v>
      </c>
      <c r="K95" s="21">
        <v>148434.0</v>
      </c>
      <c r="L95" s="22"/>
      <c r="M95" s="22"/>
      <c r="N95" s="22"/>
      <c r="O95" s="22"/>
      <c r="P95" s="21">
        <v>2.0</v>
      </c>
      <c r="Q95" s="21">
        <v>11954.0</v>
      </c>
      <c r="R95" s="22"/>
      <c r="S95" s="22"/>
      <c r="T95" s="15">
        <f t="shared" ref="T95:U95" si="91">B95+D95+F95+H95+J95+L95+N95+P95+R95</f>
        <v>9</v>
      </c>
      <c r="U95" s="15">
        <f t="shared" si="91"/>
        <v>160424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21" t="s">
        <v>380</v>
      </c>
      <c r="B96" s="21">
        <v>7.0</v>
      </c>
      <c r="C96" s="21">
        <v>12079.0</v>
      </c>
      <c r="D96" s="21">
        <v>2.0</v>
      </c>
      <c r="E96" s="21">
        <v>7165.0</v>
      </c>
      <c r="F96" s="22"/>
      <c r="G96" s="22"/>
      <c r="H96" s="22"/>
      <c r="I96" s="22"/>
      <c r="J96" s="21">
        <v>3.0</v>
      </c>
      <c r="K96" s="21">
        <v>78122.0</v>
      </c>
      <c r="L96" s="21">
        <v>1.0</v>
      </c>
      <c r="M96" s="21">
        <v>12420.0</v>
      </c>
      <c r="N96" s="21">
        <v>1.0</v>
      </c>
      <c r="O96" s="21">
        <v>3376.0</v>
      </c>
      <c r="P96" s="21">
        <v>3.0</v>
      </c>
      <c r="Q96" s="21">
        <v>8268.0</v>
      </c>
      <c r="R96" s="22"/>
      <c r="S96" s="22"/>
      <c r="T96" s="15">
        <f t="shared" ref="T96:U96" si="92">B96+D96+F96+H96+J96+L96+N96+P96+R96</f>
        <v>17</v>
      </c>
      <c r="U96" s="15">
        <f t="shared" si="92"/>
        <v>121430</v>
      </c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21" t="s">
        <v>384</v>
      </c>
      <c r="B97" s="21">
        <v>12.0</v>
      </c>
      <c r="C97" s="21">
        <v>51524.0</v>
      </c>
      <c r="D97" s="21">
        <v>1.0</v>
      </c>
      <c r="E97" s="21">
        <v>3582.0</v>
      </c>
      <c r="F97" s="21">
        <v>1.0</v>
      </c>
      <c r="G97" s="21">
        <v>5447.0</v>
      </c>
      <c r="H97" s="22"/>
      <c r="I97" s="22"/>
      <c r="J97" s="21">
        <v>4.0</v>
      </c>
      <c r="K97" s="21">
        <v>109098.0</v>
      </c>
      <c r="L97" s="21">
        <v>1.0</v>
      </c>
      <c r="M97" s="21">
        <v>12420.0</v>
      </c>
      <c r="N97" s="21">
        <v>1.0</v>
      </c>
      <c r="O97" s="21">
        <v>3377.0</v>
      </c>
      <c r="P97" s="21">
        <v>2.0</v>
      </c>
      <c r="Q97" s="21">
        <v>5512.0</v>
      </c>
      <c r="R97" s="22"/>
      <c r="S97" s="22"/>
      <c r="T97" s="15">
        <f t="shared" ref="T97:U97" si="93">B97+D97+F97+H97+J97+L97+N97+P97+R97</f>
        <v>22</v>
      </c>
      <c r="U97" s="15">
        <f t="shared" si="93"/>
        <v>190960</v>
      </c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21" t="s">
        <v>390</v>
      </c>
      <c r="B98" s="21">
        <v>8.0</v>
      </c>
      <c r="C98" s="21">
        <v>28260.0</v>
      </c>
      <c r="D98" s="21">
        <v>1.0</v>
      </c>
      <c r="E98" s="21">
        <v>3583.0</v>
      </c>
      <c r="F98" s="22"/>
      <c r="G98" s="22"/>
      <c r="H98" s="22"/>
      <c r="I98" s="22"/>
      <c r="J98" s="21">
        <v>4.0</v>
      </c>
      <c r="K98" s="21">
        <v>109098.0</v>
      </c>
      <c r="L98" s="21">
        <v>1.0</v>
      </c>
      <c r="M98" s="21">
        <v>12420.0</v>
      </c>
      <c r="N98" s="21">
        <v>1.0</v>
      </c>
      <c r="O98" s="21">
        <v>3377.0</v>
      </c>
      <c r="P98" s="21">
        <v>2.0</v>
      </c>
      <c r="Q98" s="21">
        <v>5512.0</v>
      </c>
      <c r="R98" s="22"/>
      <c r="S98" s="22"/>
      <c r="T98" s="15">
        <f t="shared" ref="T98:U98" si="94">B98+D98+F98+H98+J98+L98+N98+P98+R98</f>
        <v>17</v>
      </c>
      <c r="U98" s="15">
        <f t="shared" si="94"/>
        <v>162250</v>
      </c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21" t="s">
        <v>395</v>
      </c>
      <c r="B99" s="21">
        <v>5.0</v>
      </c>
      <c r="C99" s="21">
        <v>5713.0</v>
      </c>
      <c r="D99" s="21">
        <v>2.0</v>
      </c>
      <c r="E99" s="21" t="s">
        <v>855</v>
      </c>
      <c r="F99" s="22"/>
      <c r="G99" s="22"/>
      <c r="H99" s="22"/>
      <c r="I99" s="22"/>
      <c r="J99" s="21">
        <v>2.0</v>
      </c>
      <c r="K99" s="21">
        <v>58696.0</v>
      </c>
      <c r="L99" s="22"/>
      <c r="M99" s="22"/>
      <c r="N99" s="21">
        <v>1.0</v>
      </c>
      <c r="O99" s="21">
        <v>3376.0</v>
      </c>
      <c r="P99" s="22"/>
      <c r="Q99" s="22"/>
      <c r="R99" s="22"/>
      <c r="S99" s="22"/>
      <c r="T99" s="15">
        <f t="shared" ref="T99:U99" si="95">B99+D99+F99+H99+J99+L99+N99+P99+R99</f>
        <v>10</v>
      </c>
      <c r="U99" s="15" t="str">
        <f t="shared" si="95"/>
        <v>#VALUE!</v>
      </c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21" t="s">
        <v>404</v>
      </c>
      <c r="B100" s="21">
        <v>1.0</v>
      </c>
      <c r="C100" s="21">
        <v>5712.0</v>
      </c>
      <c r="D100" s="22"/>
      <c r="E100" s="22"/>
      <c r="F100" s="22"/>
      <c r="G100" s="22"/>
      <c r="H100" s="22"/>
      <c r="I100" s="22"/>
      <c r="J100" s="21">
        <v>3.0</v>
      </c>
      <c r="K100" s="21">
        <v>98637.0</v>
      </c>
      <c r="L100" s="21">
        <v>1.0</v>
      </c>
      <c r="M100" s="21">
        <v>11724.0</v>
      </c>
      <c r="N100" s="22"/>
      <c r="O100" s="22"/>
      <c r="P100" s="21">
        <v>2.0</v>
      </c>
      <c r="Q100" s="21">
        <v>3231.0</v>
      </c>
      <c r="R100" s="22"/>
      <c r="S100" s="22"/>
      <c r="T100" s="15">
        <f t="shared" ref="T100:U100" si="96">B100+D100+F100+H100+J100+L100+N100+P100+R100</f>
        <v>7</v>
      </c>
      <c r="U100" s="15">
        <f t="shared" si="96"/>
        <v>119304</v>
      </c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21" t="s">
        <v>413</v>
      </c>
      <c r="B101" s="22"/>
      <c r="C101" s="22"/>
      <c r="D101" s="22"/>
      <c r="E101" s="22"/>
      <c r="F101" s="22"/>
      <c r="G101" s="22"/>
      <c r="H101" s="22"/>
      <c r="I101" s="22"/>
      <c r="J101" s="21">
        <v>1.0</v>
      </c>
      <c r="K101" s="21">
        <v>20471.0</v>
      </c>
      <c r="L101" s="22"/>
      <c r="M101" s="22"/>
      <c r="N101" s="22"/>
      <c r="O101" s="22"/>
      <c r="P101" s="22"/>
      <c r="Q101" s="22"/>
      <c r="R101" s="22"/>
      <c r="S101" s="22"/>
      <c r="T101" s="15">
        <f t="shared" ref="T101:U101" si="97">B101+D101+F101+H101+J101+L101+N101+P101+R101</f>
        <v>1</v>
      </c>
      <c r="U101" s="15">
        <f t="shared" si="97"/>
        <v>20471</v>
      </c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21" t="s">
        <v>425</v>
      </c>
      <c r="B102" s="21">
        <v>13.0</v>
      </c>
      <c r="C102" s="21">
        <v>53156.0</v>
      </c>
      <c r="D102" s="22"/>
      <c r="E102" s="22"/>
      <c r="F102" s="22"/>
      <c r="G102" s="22"/>
      <c r="H102" s="22"/>
      <c r="I102" s="22"/>
      <c r="J102" s="21">
        <v>2.0</v>
      </c>
      <c r="K102" s="21">
        <v>56320.0</v>
      </c>
      <c r="L102" s="22"/>
      <c r="M102" s="22"/>
      <c r="N102" s="22"/>
      <c r="O102" s="22"/>
      <c r="P102" s="21">
        <v>2.0</v>
      </c>
      <c r="Q102" s="21">
        <v>10090.0</v>
      </c>
      <c r="R102" s="21">
        <v>3.0</v>
      </c>
      <c r="S102" s="21">
        <v>1802.0</v>
      </c>
      <c r="T102" s="15">
        <f t="shared" ref="T102:U102" si="98">B102+D102+F102+H102+J102+L102+N102+P102+R102</f>
        <v>20</v>
      </c>
      <c r="U102" s="15">
        <f t="shared" si="98"/>
        <v>121368</v>
      </c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21" t="s">
        <v>418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1">
        <v>1.0</v>
      </c>
      <c r="Q103" s="21">
        <v>4676.0</v>
      </c>
      <c r="R103" s="22"/>
      <c r="S103" s="22"/>
      <c r="T103" s="15">
        <f t="shared" ref="T103:U103" si="99">B103+D103+F103+H103+J103+L103+N103+P103+R103</f>
        <v>1</v>
      </c>
      <c r="U103" s="15">
        <f t="shared" si="99"/>
        <v>4676</v>
      </c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21" t="s">
        <v>421</v>
      </c>
      <c r="B104" s="21">
        <v>2.0</v>
      </c>
      <c r="C104" s="21">
        <v>37250.0</v>
      </c>
      <c r="D104" s="21">
        <v>1.0</v>
      </c>
      <c r="E104" s="21">
        <v>4814.0</v>
      </c>
      <c r="F104" s="22"/>
      <c r="G104" s="22"/>
      <c r="H104" s="22"/>
      <c r="I104" s="22"/>
      <c r="J104" s="22"/>
      <c r="K104" s="22"/>
      <c r="L104" s="21">
        <v>1.0</v>
      </c>
      <c r="M104" s="21">
        <v>23438.0</v>
      </c>
      <c r="N104" s="22"/>
      <c r="O104" s="22"/>
      <c r="P104" s="22"/>
      <c r="Q104" s="22"/>
      <c r="R104" s="22"/>
      <c r="S104" s="22"/>
      <c r="T104" s="15">
        <f t="shared" ref="T104:U104" si="100">B104+D104+F104+H104+J104+L104+N104+P104+R104</f>
        <v>4</v>
      </c>
      <c r="U104" s="15">
        <f t="shared" si="100"/>
        <v>65502</v>
      </c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21" t="s">
        <v>430</v>
      </c>
      <c r="B105" s="21">
        <v>1.0</v>
      </c>
      <c r="C105" s="21">
        <v>10274.0</v>
      </c>
      <c r="D105" s="22"/>
      <c r="E105" s="22"/>
      <c r="F105" s="21">
        <v>10.0</v>
      </c>
      <c r="G105" s="21">
        <v>72592.0</v>
      </c>
      <c r="H105" s="22"/>
      <c r="I105" s="22"/>
      <c r="J105" s="21">
        <v>13.0</v>
      </c>
      <c r="K105" s="21">
        <v>133884.0</v>
      </c>
      <c r="L105" s="22"/>
      <c r="M105" s="22"/>
      <c r="N105" s="21">
        <v>3.0</v>
      </c>
      <c r="O105" s="21">
        <v>19268.0</v>
      </c>
      <c r="P105" s="22"/>
      <c r="Q105" s="22"/>
      <c r="R105" s="22"/>
      <c r="S105" s="22"/>
      <c r="T105" s="15">
        <f t="shared" ref="T105:U105" si="101">B105+D105+F105+H105+J105+L105+N105+P105+R105</f>
        <v>27</v>
      </c>
      <c r="U105" s="15">
        <f t="shared" si="101"/>
        <v>236018</v>
      </c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21" t="s">
        <v>433</v>
      </c>
      <c r="B106" s="22"/>
      <c r="C106" s="22"/>
      <c r="D106" s="22"/>
      <c r="E106" s="22"/>
      <c r="F106" s="22"/>
      <c r="G106" s="22"/>
      <c r="H106" s="22"/>
      <c r="I106" s="22"/>
      <c r="J106" s="21">
        <v>1.0</v>
      </c>
      <c r="K106" s="21">
        <v>20471.0</v>
      </c>
      <c r="L106" s="22"/>
      <c r="M106" s="22"/>
      <c r="N106" s="22"/>
      <c r="O106" s="22"/>
      <c r="P106" s="22"/>
      <c r="Q106" s="22"/>
      <c r="R106" s="22"/>
      <c r="S106" s="22"/>
      <c r="T106" s="15">
        <f t="shared" ref="T106:U106" si="102">B106+D106+F106+H106+J106+L106+N106+P106+R106</f>
        <v>1</v>
      </c>
      <c r="U106" s="15">
        <f t="shared" si="102"/>
        <v>20471</v>
      </c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21" t="s">
        <v>436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1">
        <v>2.0</v>
      </c>
      <c r="O107" s="21">
        <v>5482.0</v>
      </c>
      <c r="P107" s="22"/>
      <c r="Q107" s="22"/>
      <c r="R107" s="22"/>
      <c r="S107" s="22"/>
      <c r="T107" s="15">
        <f t="shared" ref="T107:U107" si="103">B107+D107+F107+H107+J107+L107+N107+P107+R107</f>
        <v>2</v>
      </c>
      <c r="U107" s="15">
        <f t="shared" si="103"/>
        <v>5482</v>
      </c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21" t="s">
        <v>451</v>
      </c>
      <c r="B108" s="21">
        <v>10.0</v>
      </c>
      <c r="C108" s="21">
        <v>57130.0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1">
        <v>24.0</v>
      </c>
      <c r="O108" s="21">
        <v>78673.0</v>
      </c>
      <c r="P108" s="22"/>
      <c r="Q108" s="22"/>
      <c r="R108" s="21">
        <v>1.0</v>
      </c>
      <c r="S108" s="21">
        <v>166813.0</v>
      </c>
      <c r="T108" s="15">
        <f t="shared" ref="T108:U108" si="104">B108+D108+F108+H108+J108+L108+N108+P108+R108</f>
        <v>35</v>
      </c>
      <c r="U108" s="15">
        <f t="shared" si="104"/>
        <v>302616</v>
      </c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21" t="s">
        <v>439</v>
      </c>
      <c r="B109" s="21">
        <v>23.0</v>
      </c>
      <c r="C109" s="21">
        <v>154143.0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1">
        <v>3.0</v>
      </c>
      <c r="S109" s="21">
        <v>351039.0</v>
      </c>
      <c r="T109" s="15">
        <f t="shared" ref="T109:U109" si="105">B109+D109+F109+H109+J109+L109+N109+P109+R109</f>
        <v>26</v>
      </c>
      <c r="U109" s="15">
        <f t="shared" si="105"/>
        <v>505182</v>
      </c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21" t="s">
        <v>441</v>
      </c>
      <c r="B110" s="21">
        <v>18.0</v>
      </c>
      <c r="C110" s="21">
        <v>257529.0</v>
      </c>
      <c r="D110" s="21">
        <v>27.0</v>
      </c>
      <c r="E110" s="21">
        <v>1926.0</v>
      </c>
      <c r="F110" s="21">
        <v>3.0</v>
      </c>
      <c r="G110" s="21">
        <v>32928.0</v>
      </c>
      <c r="H110" s="21">
        <v>1.0</v>
      </c>
      <c r="I110" s="21">
        <v>544.0</v>
      </c>
      <c r="J110" s="21">
        <v>1.0</v>
      </c>
      <c r="K110" s="21">
        <v>8883.0</v>
      </c>
      <c r="L110" s="22"/>
      <c r="M110" s="22"/>
      <c r="N110" s="21">
        <v>7.0</v>
      </c>
      <c r="O110" s="21">
        <v>80948.0</v>
      </c>
      <c r="P110" s="22"/>
      <c r="Q110" s="22"/>
      <c r="R110" s="21">
        <v>10.0</v>
      </c>
      <c r="S110" s="21">
        <v>938207.0</v>
      </c>
      <c r="T110" s="15">
        <f t="shared" ref="T110:U110" si="106">B110+D110+F110+H110+J110+L110+N110+P110+R110</f>
        <v>67</v>
      </c>
      <c r="U110" s="15">
        <f t="shared" si="106"/>
        <v>1320965</v>
      </c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21" t="s">
        <v>442</v>
      </c>
      <c r="B111" s="21">
        <v>9.0</v>
      </c>
      <c r="C111" s="21">
        <v>37469.0</v>
      </c>
      <c r="D111" s="21">
        <v>1.0</v>
      </c>
      <c r="E111" s="21">
        <v>3581.0</v>
      </c>
      <c r="F111" s="21">
        <v>4.0</v>
      </c>
      <c r="G111" s="21">
        <v>14599.0</v>
      </c>
      <c r="H111" s="22"/>
      <c r="I111" s="22"/>
      <c r="J111" s="21">
        <v>5.0</v>
      </c>
      <c r="K111" s="21">
        <v>100496.0</v>
      </c>
      <c r="L111" s="21">
        <v>1.0</v>
      </c>
      <c r="M111" s="21">
        <v>12413.0</v>
      </c>
      <c r="N111" s="21">
        <v>1.0</v>
      </c>
      <c r="O111" s="21">
        <v>3749.0</v>
      </c>
      <c r="P111" s="21">
        <v>2.0</v>
      </c>
      <c r="Q111" s="21">
        <v>3644.0</v>
      </c>
      <c r="R111" s="21">
        <v>1.0</v>
      </c>
      <c r="S111" s="21">
        <v>207213.0</v>
      </c>
      <c r="T111" s="15">
        <f t="shared" ref="T111:U111" si="107">B111+D111+F111+H111+J111+L111+N111+P111+R111</f>
        <v>24</v>
      </c>
      <c r="U111" s="15">
        <f t="shared" si="107"/>
        <v>383164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21" t="s">
        <v>448</v>
      </c>
      <c r="B112" s="21">
        <v>6.0</v>
      </c>
      <c r="C112" s="21">
        <v>50430.0</v>
      </c>
      <c r="D112" s="22"/>
      <c r="E112" s="22"/>
      <c r="F112" s="21">
        <v>4.0</v>
      </c>
      <c r="G112" s="21">
        <v>14708.0</v>
      </c>
      <c r="H112" s="22"/>
      <c r="I112" s="22"/>
      <c r="J112" s="22"/>
      <c r="K112" s="22"/>
      <c r="L112" s="22"/>
      <c r="M112" s="22"/>
      <c r="N112" s="21">
        <v>1.0</v>
      </c>
      <c r="O112" s="21">
        <v>3839.0</v>
      </c>
      <c r="P112" s="21">
        <v>3.0</v>
      </c>
      <c r="Q112" s="21">
        <v>8682.0</v>
      </c>
      <c r="R112" s="22"/>
      <c r="S112" s="22"/>
      <c r="T112" s="15">
        <f t="shared" ref="T112:U112" si="108">B112+D112+F112+H112+J112+L112+N112+P112+R112</f>
        <v>14</v>
      </c>
      <c r="U112" s="15">
        <f t="shared" si="108"/>
        <v>77659</v>
      </c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21" t="s">
        <v>455</v>
      </c>
      <c r="B113" s="21">
        <v>17.0</v>
      </c>
      <c r="C113" s="21">
        <v>211571.0</v>
      </c>
      <c r="D113" s="22"/>
      <c r="E113" s="22"/>
      <c r="F113" s="21">
        <v>12.0</v>
      </c>
      <c r="G113" s="21">
        <v>43430.0</v>
      </c>
      <c r="H113" s="22"/>
      <c r="I113" s="22"/>
      <c r="J113" s="21">
        <v>44.0</v>
      </c>
      <c r="K113" s="21">
        <v>972202.0</v>
      </c>
      <c r="L113" s="22"/>
      <c r="M113" s="22"/>
      <c r="N113" s="21">
        <v>17.0</v>
      </c>
      <c r="O113" s="21">
        <v>58938.0</v>
      </c>
      <c r="P113" s="22"/>
      <c r="Q113" s="22"/>
      <c r="R113" s="21">
        <v>1.0</v>
      </c>
      <c r="S113" s="21">
        <v>166813.0</v>
      </c>
      <c r="T113" s="15">
        <f t="shared" ref="T113:U113" si="109">B113+D113+F113+H113+J113+L113+N113+P113+R113</f>
        <v>91</v>
      </c>
      <c r="U113" s="15">
        <f t="shared" si="109"/>
        <v>1452954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21" t="s">
        <v>458</v>
      </c>
      <c r="B114" s="21">
        <v>6.0</v>
      </c>
      <c r="C114" s="21">
        <v>58534.0</v>
      </c>
      <c r="D114" s="22"/>
      <c r="E114" s="22"/>
      <c r="F114" s="22"/>
      <c r="G114" s="22"/>
      <c r="H114" s="22"/>
      <c r="I114" s="22"/>
      <c r="J114" s="21">
        <v>14.0</v>
      </c>
      <c r="K114" s="21">
        <v>856768.0</v>
      </c>
      <c r="L114" s="22"/>
      <c r="M114" s="22"/>
      <c r="N114" s="21">
        <v>12.0</v>
      </c>
      <c r="O114" s="21">
        <v>39678.0</v>
      </c>
      <c r="P114" s="22"/>
      <c r="Q114" s="22"/>
      <c r="R114" s="21">
        <v>1.0</v>
      </c>
      <c r="S114" s="21">
        <v>166813.0</v>
      </c>
      <c r="T114" s="15">
        <f t="shared" ref="T114:U114" si="110">B114+D114+F114+H114+J114+L114+N114+P114+R114</f>
        <v>33</v>
      </c>
      <c r="U114" s="15">
        <f t="shared" si="110"/>
        <v>1121793</v>
      </c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21" t="s">
        <v>464</v>
      </c>
      <c r="B115" s="21">
        <v>25.0</v>
      </c>
      <c r="C115" s="21">
        <v>1000107.0</v>
      </c>
      <c r="D115" s="21">
        <v>12.0</v>
      </c>
      <c r="E115" s="21">
        <v>101555.0</v>
      </c>
      <c r="F115" s="21">
        <v>6.0</v>
      </c>
      <c r="G115" s="21">
        <v>165236.0</v>
      </c>
      <c r="H115" s="21">
        <v>1.0</v>
      </c>
      <c r="I115" s="21">
        <v>1904.0</v>
      </c>
      <c r="J115" s="21">
        <v>41.0</v>
      </c>
      <c r="K115" s="21">
        <v>243654.0</v>
      </c>
      <c r="L115" s="22"/>
      <c r="M115" s="22"/>
      <c r="N115" s="22"/>
      <c r="O115" s="22"/>
      <c r="P115" s="21">
        <v>13.0</v>
      </c>
      <c r="Q115" s="21">
        <v>120698.0</v>
      </c>
      <c r="R115" s="21">
        <v>16.0</v>
      </c>
      <c r="S115" s="21">
        <v>4486020.0</v>
      </c>
      <c r="T115" s="15">
        <f t="shared" ref="T115:U115" si="111">B115+D115+F115+H115+J115+L115+N115+P115+R115</f>
        <v>114</v>
      </c>
      <c r="U115" s="15">
        <f t="shared" si="111"/>
        <v>6119174</v>
      </c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21" t="s">
        <v>468</v>
      </c>
      <c r="B116" s="21">
        <v>4.0</v>
      </c>
      <c r="C116" s="21">
        <v>14741.0</v>
      </c>
      <c r="D116" s="21">
        <v>1.0</v>
      </c>
      <c r="E116" s="21">
        <v>3583.0</v>
      </c>
      <c r="F116" s="22"/>
      <c r="G116" s="22"/>
      <c r="H116" s="22"/>
      <c r="I116" s="22"/>
      <c r="J116" s="21">
        <v>3.0</v>
      </c>
      <c r="K116" s="21">
        <v>78045.0</v>
      </c>
      <c r="L116" s="22"/>
      <c r="M116" s="22"/>
      <c r="N116" s="21">
        <v>1.0</v>
      </c>
      <c r="O116" s="21">
        <v>3377.0</v>
      </c>
      <c r="P116" s="21">
        <v>2.0</v>
      </c>
      <c r="Q116" s="21">
        <v>3656.0</v>
      </c>
      <c r="R116" s="22"/>
      <c r="S116" s="22"/>
      <c r="T116" s="15">
        <f t="shared" ref="T116:U116" si="112">B116+D116+F116+H116+J116+L116+N116+P116+R116</f>
        <v>11</v>
      </c>
      <c r="U116" s="15">
        <f t="shared" si="112"/>
        <v>103402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21" t="s">
        <v>472</v>
      </c>
      <c r="B117" s="21">
        <v>4.0</v>
      </c>
      <c r="C117" s="21">
        <v>12028.0</v>
      </c>
      <c r="D117" s="22"/>
      <c r="E117" s="22"/>
      <c r="F117" s="22"/>
      <c r="G117" s="22"/>
      <c r="H117" s="22"/>
      <c r="I117" s="22"/>
      <c r="J117" s="21">
        <v>1.0</v>
      </c>
      <c r="K117" s="21">
        <v>30976.0</v>
      </c>
      <c r="L117" s="21">
        <v>1.0</v>
      </c>
      <c r="M117" s="21">
        <v>12419.0</v>
      </c>
      <c r="N117" s="21">
        <v>1.0</v>
      </c>
      <c r="O117" s="21" t="s">
        <v>855</v>
      </c>
      <c r="P117" s="22"/>
      <c r="Q117" s="22"/>
      <c r="R117" s="22"/>
      <c r="S117" s="22"/>
      <c r="T117" s="15">
        <f t="shared" ref="T117:U117" si="113">B117+D117+F117+H117+J117+L117+N117+P117+R117</f>
        <v>7</v>
      </c>
      <c r="U117" s="15" t="str">
        <f t="shared" si="113"/>
        <v>#VALUE!</v>
      </c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21" t="s">
        <v>475</v>
      </c>
      <c r="B118" s="21">
        <v>31.0</v>
      </c>
      <c r="C118" s="21">
        <v>870395.0</v>
      </c>
      <c r="D118" s="21">
        <v>14.0</v>
      </c>
      <c r="E118" s="21">
        <v>87034.0</v>
      </c>
      <c r="F118" s="21">
        <v>8.0</v>
      </c>
      <c r="G118" s="21">
        <v>69818.0</v>
      </c>
      <c r="H118" s="21">
        <v>1.0</v>
      </c>
      <c r="I118" s="21">
        <v>544.0</v>
      </c>
      <c r="J118" s="21">
        <v>10.0</v>
      </c>
      <c r="K118" s="21">
        <v>206415.0</v>
      </c>
      <c r="L118" s="21">
        <v>1.0</v>
      </c>
      <c r="M118" s="21">
        <v>25040.0</v>
      </c>
      <c r="N118" s="21">
        <v>5.0</v>
      </c>
      <c r="O118" s="21">
        <v>28298.0</v>
      </c>
      <c r="P118" s="21">
        <v>12.0</v>
      </c>
      <c r="Q118" s="21">
        <v>58860.0</v>
      </c>
      <c r="R118" s="22"/>
      <c r="S118" s="22"/>
      <c r="T118" s="15">
        <f t="shared" ref="T118:U118" si="114">B118+D118+F118+H118+J118+L118+N118+P118+R118</f>
        <v>82</v>
      </c>
      <c r="U118" s="15">
        <f t="shared" si="114"/>
        <v>1346404</v>
      </c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21" t="s">
        <v>479</v>
      </c>
      <c r="B119" s="22"/>
      <c r="C119" s="22"/>
      <c r="D119" s="22"/>
      <c r="E119" s="22"/>
      <c r="F119" s="21">
        <v>194.0</v>
      </c>
      <c r="G119" s="21">
        <v>202640.0</v>
      </c>
      <c r="H119" s="21">
        <v>3.0</v>
      </c>
      <c r="I119" s="21">
        <v>706.0</v>
      </c>
      <c r="J119" s="21">
        <v>2.0</v>
      </c>
      <c r="K119" s="21">
        <v>12188.0</v>
      </c>
      <c r="L119" s="21">
        <v>1.0</v>
      </c>
      <c r="M119" s="21">
        <v>11114.0</v>
      </c>
      <c r="N119" s="22"/>
      <c r="O119" s="22"/>
      <c r="P119" s="22"/>
      <c r="Q119" s="22"/>
      <c r="R119" s="22"/>
      <c r="S119" s="22"/>
      <c r="T119" s="15">
        <f t="shared" ref="T119:U119" si="115">B119+D119+F119+H119+J119+L119+N119+P119+R119</f>
        <v>200</v>
      </c>
      <c r="U119" s="15">
        <f t="shared" si="115"/>
        <v>226648</v>
      </c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21" t="s">
        <v>482</v>
      </c>
      <c r="B120" s="21">
        <v>1.0</v>
      </c>
      <c r="C120" s="21">
        <v>5450.0</v>
      </c>
      <c r="D120" s="21">
        <v>2.0</v>
      </c>
      <c r="E120" s="21">
        <v>3529.0</v>
      </c>
      <c r="F120" s="21">
        <v>8.0</v>
      </c>
      <c r="G120" s="21">
        <v>12652.0</v>
      </c>
      <c r="H120" s="22"/>
      <c r="I120" s="22"/>
      <c r="J120" s="21">
        <v>20.0</v>
      </c>
      <c r="K120" s="21">
        <v>497947.0</v>
      </c>
      <c r="L120" s="21">
        <v>1.0</v>
      </c>
      <c r="M120" s="21">
        <v>11912.0</v>
      </c>
      <c r="N120" s="21">
        <v>2.0</v>
      </c>
      <c r="O120" s="21">
        <v>6955.0</v>
      </c>
      <c r="P120" s="21">
        <v>1.0</v>
      </c>
      <c r="Q120" s="21">
        <v>5436.0</v>
      </c>
      <c r="R120" s="21">
        <v>6.0</v>
      </c>
      <c r="S120" s="21">
        <v>4200494.0</v>
      </c>
      <c r="T120" s="15">
        <f t="shared" ref="T120:U120" si="116">B120+D120+F120+H120+J120+L120+N120+P120+R120</f>
        <v>41</v>
      </c>
      <c r="U120" s="15">
        <f t="shared" si="116"/>
        <v>4744375</v>
      </c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21" t="s">
        <v>486</v>
      </c>
      <c r="B121" s="21">
        <v>5.0</v>
      </c>
      <c r="C121" s="21">
        <v>51297.0</v>
      </c>
      <c r="D121" s="22"/>
      <c r="E121" s="22"/>
      <c r="F121" s="22"/>
      <c r="G121" s="22"/>
      <c r="H121" s="22"/>
      <c r="I121" s="22"/>
      <c r="J121" s="21">
        <v>2.0</v>
      </c>
      <c r="K121" s="21">
        <v>51062.0</v>
      </c>
      <c r="L121" s="22"/>
      <c r="M121" s="22"/>
      <c r="N121" s="21">
        <v>1.0</v>
      </c>
      <c r="O121" s="21">
        <v>3839.0</v>
      </c>
      <c r="P121" s="21">
        <v>1.0</v>
      </c>
      <c r="Q121" s="21">
        <v>6129.0</v>
      </c>
      <c r="R121" s="21">
        <v>1.0</v>
      </c>
      <c r="S121" s="21">
        <v>5721.0</v>
      </c>
      <c r="T121" s="15">
        <f t="shared" ref="T121:U121" si="117">B121+D121+F121+H121+J121+L121+N121+P121+R121</f>
        <v>10</v>
      </c>
      <c r="U121" s="15">
        <f t="shared" si="117"/>
        <v>118048</v>
      </c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21" t="s">
        <v>489</v>
      </c>
      <c r="B122" s="21">
        <v>3.0</v>
      </c>
      <c r="C122" s="21">
        <v>27505.0</v>
      </c>
      <c r="D122" s="21">
        <v>5.0</v>
      </c>
      <c r="E122" s="21">
        <v>16962.0</v>
      </c>
      <c r="F122" s="21">
        <v>2.0</v>
      </c>
      <c r="G122" s="21">
        <v>7868.0</v>
      </c>
      <c r="H122" s="22"/>
      <c r="I122" s="22"/>
      <c r="J122" s="21">
        <v>9.0</v>
      </c>
      <c r="K122" s="21">
        <v>234553.0</v>
      </c>
      <c r="L122" s="22"/>
      <c r="M122" s="22"/>
      <c r="N122" s="22"/>
      <c r="O122" s="22"/>
      <c r="P122" s="21">
        <v>1.0</v>
      </c>
      <c r="Q122" s="21">
        <v>4252.0</v>
      </c>
      <c r="R122" s="21">
        <v>1.0</v>
      </c>
      <c r="S122" s="21">
        <v>338044.0</v>
      </c>
      <c r="T122" s="15">
        <f t="shared" ref="T122:U122" si="118">B122+D122+F122+H122+J122+L122+N122+P122+R122</f>
        <v>21</v>
      </c>
      <c r="U122" s="15">
        <f t="shared" si="118"/>
        <v>629184</v>
      </c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21" t="s">
        <v>493</v>
      </c>
      <c r="B123" s="22"/>
      <c r="C123" s="22"/>
      <c r="D123" s="22"/>
      <c r="E123" s="22"/>
      <c r="F123" s="21">
        <v>3.0</v>
      </c>
      <c r="G123" s="21">
        <v>8636.0</v>
      </c>
      <c r="H123" s="21">
        <v>1.0</v>
      </c>
      <c r="I123" s="21">
        <v>7.0</v>
      </c>
      <c r="J123" s="21">
        <v>1.0</v>
      </c>
      <c r="K123" s="21">
        <v>7865.0</v>
      </c>
      <c r="L123" s="21">
        <v>1.0</v>
      </c>
      <c r="M123" s="21">
        <v>11146.0</v>
      </c>
      <c r="N123" s="22"/>
      <c r="O123" s="22"/>
      <c r="P123" s="22"/>
      <c r="Q123" s="22"/>
      <c r="R123" s="22"/>
      <c r="S123" s="22"/>
      <c r="T123" s="15">
        <f t="shared" ref="T123:U123" si="119">B123+D123+F123+H123+J123+L123+N123+P123+R123</f>
        <v>6</v>
      </c>
      <c r="U123" s="15">
        <f t="shared" si="119"/>
        <v>27654</v>
      </c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21" t="s">
        <v>496</v>
      </c>
      <c r="B124" s="21">
        <v>95.0</v>
      </c>
      <c r="C124" s="21">
        <v>4193696.0</v>
      </c>
      <c r="D124" s="21">
        <v>50.0</v>
      </c>
      <c r="E124" s="21">
        <v>50919.0</v>
      </c>
      <c r="F124" s="21">
        <v>48.0</v>
      </c>
      <c r="G124" s="21">
        <v>273221.0</v>
      </c>
      <c r="H124" s="21">
        <v>2.0</v>
      </c>
      <c r="I124" s="21">
        <v>1088.0</v>
      </c>
      <c r="J124" s="21">
        <v>19.0</v>
      </c>
      <c r="K124" s="21">
        <v>168623.0</v>
      </c>
      <c r="L124" s="22"/>
      <c r="M124" s="22"/>
      <c r="N124" s="21">
        <v>19.0</v>
      </c>
      <c r="O124" s="21">
        <v>220097.0</v>
      </c>
      <c r="P124" s="21">
        <v>6.0</v>
      </c>
      <c r="Q124" s="21">
        <v>240854.0</v>
      </c>
      <c r="R124" s="21">
        <v>26.0</v>
      </c>
      <c r="S124" s="21">
        <v>2363617.0</v>
      </c>
      <c r="T124" s="15">
        <f t="shared" ref="T124:U124" si="120">B124+D124+F124+H124+J124+L124+N124+P124+R124</f>
        <v>265</v>
      </c>
      <c r="U124" s="15">
        <f t="shared" si="120"/>
        <v>7512115</v>
      </c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21" t="s">
        <v>498</v>
      </c>
      <c r="B125" s="21">
        <v>66.0</v>
      </c>
      <c r="C125" s="21">
        <v>595774.0</v>
      </c>
      <c r="D125" s="21">
        <v>9.0</v>
      </c>
      <c r="E125" s="21">
        <v>29138.0</v>
      </c>
      <c r="F125" s="22"/>
      <c r="G125" s="22"/>
      <c r="H125" s="21">
        <v>1.0</v>
      </c>
      <c r="I125" s="21">
        <v>272.0</v>
      </c>
      <c r="J125" s="22"/>
      <c r="K125" s="22"/>
      <c r="L125" s="22"/>
      <c r="M125" s="22"/>
      <c r="N125" s="21">
        <v>35.0</v>
      </c>
      <c r="O125" s="21">
        <v>153546.0</v>
      </c>
      <c r="P125" s="22"/>
      <c r="Q125" s="22"/>
      <c r="R125" s="21">
        <v>7.0</v>
      </c>
      <c r="S125" s="21">
        <v>2474002.0</v>
      </c>
      <c r="T125" s="15">
        <f t="shared" ref="T125:U125" si="121">B125+D125+F125+H125+J125+L125+N125+P125+R125</f>
        <v>118</v>
      </c>
      <c r="U125" s="15">
        <f t="shared" si="121"/>
        <v>3252732</v>
      </c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21" t="s">
        <v>525</v>
      </c>
      <c r="B126" s="22"/>
      <c r="C126" s="22"/>
      <c r="D126" s="22"/>
      <c r="E126" s="22"/>
      <c r="F126" s="22"/>
      <c r="G126" s="22"/>
      <c r="H126" s="22"/>
      <c r="I126" s="22"/>
      <c r="J126" s="21">
        <v>2.0</v>
      </c>
      <c r="K126" s="21">
        <v>32164.0</v>
      </c>
      <c r="L126" s="22"/>
      <c r="M126" s="22"/>
      <c r="N126" s="22"/>
      <c r="O126" s="22"/>
      <c r="P126" s="21">
        <v>4.0</v>
      </c>
      <c r="Q126" s="21">
        <v>3737.0</v>
      </c>
      <c r="R126" s="22"/>
      <c r="S126" s="22"/>
      <c r="T126" s="15">
        <f t="shared" ref="T126:U126" si="122">B126+D126+F126+H126+J126+L126+N126+P126+R126</f>
        <v>6</v>
      </c>
      <c r="U126" s="15">
        <f t="shared" si="122"/>
        <v>35901</v>
      </c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21" t="s">
        <v>528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1">
        <v>1.0</v>
      </c>
      <c r="Q127" s="21">
        <v>2813.0</v>
      </c>
      <c r="R127" s="22"/>
      <c r="S127" s="22"/>
      <c r="T127" s="15">
        <f t="shared" ref="T127:U127" si="123">B127+D127+F127+H127+J127+L127+N127+P127+R127</f>
        <v>1</v>
      </c>
      <c r="U127" s="15">
        <f t="shared" si="123"/>
        <v>2813</v>
      </c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21" t="s">
        <v>501</v>
      </c>
      <c r="B128" s="21">
        <v>9.0</v>
      </c>
      <c r="C128" s="21">
        <v>153717.0</v>
      </c>
      <c r="D128" s="21">
        <v>3.0</v>
      </c>
      <c r="E128" s="21">
        <v>22400.0</v>
      </c>
      <c r="F128" s="21">
        <v>41.0</v>
      </c>
      <c r="G128" s="21">
        <v>308828.0</v>
      </c>
      <c r="H128" s="22"/>
      <c r="I128" s="22"/>
      <c r="J128" s="21">
        <v>20.0</v>
      </c>
      <c r="K128" s="21">
        <v>119783.0</v>
      </c>
      <c r="L128" s="21">
        <v>2.0</v>
      </c>
      <c r="M128" s="21">
        <v>49120.0</v>
      </c>
      <c r="N128" s="22"/>
      <c r="O128" s="22"/>
      <c r="P128" s="21">
        <v>19.0</v>
      </c>
      <c r="Q128" s="21">
        <v>134160.0</v>
      </c>
      <c r="R128" s="21">
        <v>2.0</v>
      </c>
      <c r="S128" s="21">
        <v>27014.0</v>
      </c>
      <c r="T128" s="15">
        <f t="shared" ref="T128:U128" si="124">B128+D128+F128+H128+J128+L128+N128+P128+R128</f>
        <v>96</v>
      </c>
      <c r="U128" s="15">
        <f t="shared" si="124"/>
        <v>815022</v>
      </c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21" t="s">
        <v>502</v>
      </c>
      <c r="B129" s="21">
        <v>7.0</v>
      </c>
      <c r="C129" s="21">
        <v>119757.0</v>
      </c>
      <c r="D129" s="21">
        <v>3.0</v>
      </c>
      <c r="E129" s="21">
        <v>22400.0</v>
      </c>
      <c r="F129" s="21">
        <v>1.0</v>
      </c>
      <c r="G129" s="21">
        <v>11052.0</v>
      </c>
      <c r="H129" s="22"/>
      <c r="I129" s="22"/>
      <c r="J129" s="21">
        <v>18.0</v>
      </c>
      <c r="K129" s="21">
        <v>134051.0</v>
      </c>
      <c r="L129" s="21">
        <v>1.0</v>
      </c>
      <c r="M129" s="21">
        <v>24560.0</v>
      </c>
      <c r="N129" s="22"/>
      <c r="O129" s="22"/>
      <c r="P129" s="21">
        <v>3.0</v>
      </c>
      <c r="Q129" s="21">
        <v>16508.0</v>
      </c>
      <c r="R129" s="22"/>
      <c r="S129" s="22"/>
      <c r="T129" s="15">
        <f t="shared" ref="T129:U129" si="125">B129+D129+F129+H129+J129+L129+N129+P129+R129</f>
        <v>33</v>
      </c>
      <c r="U129" s="15">
        <f t="shared" si="125"/>
        <v>328328</v>
      </c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21" t="s">
        <v>503</v>
      </c>
      <c r="B130" s="21">
        <v>1.0</v>
      </c>
      <c r="C130" s="21">
        <v>43431.0</v>
      </c>
      <c r="D130" s="21">
        <v>3.0</v>
      </c>
      <c r="E130" s="21">
        <v>22400.0</v>
      </c>
      <c r="F130" s="21">
        <v>29.0</v>
      </c>
      <c r="G130" s="21">
        <v>187839.0</v>
      </c>
      <c r="H130" s="22"/>
      <c r="I130" s="22"/>
      <c r="J130" s="21">
        <v>14.0</v>
      </c>
      <c r="K130" s="21">
        <v>69132.0</v>
      </c>
      <c r="L130" s="21">
        <v>1.0</v>
      </c>
      <c r="M130" s="21">
        <v>24560.0</v>
      </c>
      <c r="N130" s="22"/>
      <c r="O130" s="22"/>
      <c r="P130" s="21">
        <v>19.0</v>
      </c>
      <c r="Q130" s="21">
        <v>104747.0</v>
      </c>
      <c r="R130" s="22"/>
      <c r="S130" s="22"/>
      <c r="T130" s="15">
        <f t="shared" ref="T130:U130" si="126">B130+D130+F130+H130+J130+L130+N130+P130+R130</f>
        <v>67</v>
      </c>
      <c r="U130" s="15">
        <f t="shared" si="126"/>
        <v>452109</v>
      </c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21" t="s">
        <v>504</v>
      </c>
      <c r="B131" s="21">
        <v>11.0</v>
      </c>
      <c r="C131" s="21">
        <v>188482.0</v>
      </c>
      <c r="D131" s="21">
        <v>3.0</v>
      </c>
      <c r="E131" s="21">
        <v>22400.0</v>
      </c>
      <c r="F131" s="21">
        <v>27.0</v>
      </c>
      <c r="G131" s="21">
        <v>140904.0</v>
      </c>
      <c r="H131" s="22"/>
      <c r="I131" s="22"/>
      <c r="J131" s="21">
        <v>7.0</v>
      </c>
      <c r="K131" s="21">
        <v>30205.0</v>
      </c>
      <c r="L131" s="21">
        <v>2.0</v>
      </c>
      <c r="M131" s="21">
        <v>49120.0</v>
      </c>
      <c r="N131" s="22"/>
      <c r="O131" s="22"/>
      <c r="P131" s="21">
        <v>18.0</v>
      </c>
      <c r="Q131" s="21">
        <v>121308.0</v>
      </c>
      <c r="R131" s="21">
        <v>2.0</v>
      </c>
      <c r="S131" s="21">
        <v>27026.0</v>
      </c>
      <c r="T131" s="15">
        <f t="shared" ref="T131:U131" si="127">B131+D131+F131+H131+J131+L131+N131+P131+R131</f>
        <v>70</v>
      </c>
      <c r="U131" s="15">
        <f t="shared" si="127"/>
        <v>579445</v>
      </c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21" t="s">
        <v>505</v>
      </c>
      <c r="B132" s="21">
        <v>3.0</v>
      </c>
      <c r="C132" s="21">
        <v>77429.0</v>
      </c>
      <c r="D132" s="21">
        <v>3.0</v>
      </c>
      <c r="E132" s="21">
        <v>22400.0</v>
      </c>
      <c r="F132" s="21">
        <v>17.0</v>
      </c>
      <c r="G132" s="21">
        <v>171140.0</v>
      </c>
      <c r="H132" s="21">
        <v>3.0</v>
      </c>
      <c r="I132" s="21">
        <v>1454.0</v>
      </c>
      <c r="J132" s="21">
        <v>45.0</v>
      </c>
      <c r="K132" s="21">
        <v>425501.0</v>
      </c>
      <c r="L132" s="21">
        <v>2.0</v>
      </c>
      <c r="M132" s="21">
        <v>49120.0</v>
      </c>
      <c r="N132" s="21">
        <v>3.0</v>
      </c>
      <c r="O132" s="21">
        <v>17208.0</v>
      </c>
      <c r="P132" s="21">
        <v>3.0</v>
      </c>
      <c r="Q132" s="21">
        <v>16508.0</v>
      </c>
      <c r="R132" s="21">
        <v>2.0</v>
      </c>
      <c r="S132" s="21">
        <v>27026.0</v>
      </c>
      <c r="T132" s="15">
        <f t="shared" ref="T132:U132" si="128">B132+D132+F132+H132+J132+L132+N132+P132+R132</f>
        <v>81</v>
      </c>
      <c r="U132" s="15">
        <f t="shared" si="128"/>
        <v>807786</v>
      </c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21" t="s">
        <v>506</v>
      </c>
      <c r="B133" s="21">
        <v>5.0</v>
      </c>
      <c r="C133" s="21">
        <v>35848.0</v>
      </c>
      <c r="D133" s="21">
        <v>3.0</v>
      </c>
      <c r="E133" s="21">
        <v>22400.0</v>
      </c>
      <c r="F133" s="21">
        <v>86.0</v>
      </c>
      <c r="G133" s="21">
        <v>621052.0</v>
      </c>
      <c r="H133" s="22"/>
      <c r="I133" s="22"/>
      <c r="J133" s="21">
        <v>32.0</v>
      </c>
      <c r="K133" s="21">
        <v>227652.0</v>
      </c>
      <c r="L133" s="21">
        <v>4.0</v>
      </c>
      <c r="M133" s="21">
        <v>99164.0</v>
      </c>
      <c r="N133" s="21">
        <v>3.0</v>
      </c>
      <c r="O133" s="21">
        <v>17298.0</v>
      </c>
      <c r="P133" s="21">
        <v>43.0</v>
      </c>
      <c r="Q133" s="21">
        <v>310242.0</v>
      </c>
      <c r="R133" s="22"/>
      <c r="S133" s="22"/>
      <c r="T133" s="15">
        <f t="shared" ref="T133:U133" si="129">B133+D133+F133+H133+J133+L133+N133+P133+R133</f>
        <v>176</v>
      </c>
      <c r="U133" s="15">
        <f t="shared" si="129"/>
        <v>1333656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21" t="s">
        <v>508</v>
      </c>
      <c r="B134" s="21">
        <v>1.0</v>
      </c>
      <c r="C134" s="21">
        <v>43431.0</v>
      </c>
      <c r="D134" s="21">
        <v>3.0</v>
      </c>
      <c r="E134" s="21">
        <v>22400.0</v>
      </c>
      <c r="F134" s="21">
        <v>1.0</v>
      </c>
      <c r="G134" s="21">
        <v>11052.0</v>
      </c>
      <c r="H134" s="22"/>
      <c r="I134" s="22"/>
      <c r="J134" s="21">
        <v>33.0</v>
      </c>
      <c r="K134" s="21">
        <v>218295.0</v>
      </c>
      <c r="L134" s="21">
        <v>1.0</v>
      </c>
      <c r="M134" s="21">
        <v>24560.0</v>
      </c>
      <c r="N134" s="22"/>
      <c r="O134" s="22"/>
      <c r="P134" s="21">
        <v>3.0</v>
      </c>
      <c r="Q134" s="21">
        <v>16508.0</v>
      </c>
      <c r="R134" s="22"/>
      <c r="S134" s="22"/>
      <c r="T134" s="15">
        <f t="shared" ref="T134:U134" si="130">B134+D134+F134+H134+J134+L134+N134+P134+R134</f>
        <v>42</v>
      </c>
      <c r="U134" s="15">
        <f t="shared" si="130"/>
        <v>336246</v>
      </c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21" t="s">
        <v>510</v>
      </c>
      <c r="B135" s="21">
        <v>10.0</v>
      </c>
      <c r="C135" s="21">
        <v>65614.0</v>
      </c>
      <c r="D135" s="21">
        <v>4.0</v>
      </c>
      <c r="E135" s="21">
        <v>28846.0</v>
      </c>
      <c r="F135" s="21">
        <v>68.0</v>
      </c>
      <c r="G135" s="21">
        <v>498892.0</v>
      </c>
      <c r="H135" s="22"/>
      <c r="I135" s="22"/>
      <c r="J135" s="21">
        <v>71.0</v>
      </c>
      <c r="K135" s="21">
        <v>645582.0</v>
      </c>
      <c r="L135" s="21">
        <v>4.0</v>
      </c>
      <c r="M135" s="21">
        <v>98702.0</v>
      </c>
      <c r="N135" s="21">
        <v>3.0</v>
      </c>
      <c r="O135" s="21">
        <v>17568.0</v>
      </c>
      <c r="P135" s="21">
        <v>34.0</v>
      </c>
      <c r="Q135" s="21">
        <v>251316.0</v>
      </c>
      <c r="R135" s="21">
        <v>3.0</v>
      </c>
      <c r="S135" s="21">
        <v>40610.0</v>
      </c>
      <c r="T135" s="15">
        <f t="shared" ref="T135:U135" si="131">B135+D135+F135+H135+J135+L135+N135+P135+R135</f>
        <v>197</v>
      </c>
      <c r="U135" s="15">
        <f t="shared" si="131"/>
        <v>1647130</v>
      </c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21" t="s">
        <v>511</v>
      </c>
      <c r="B136" s="21">
        <v>3.0</v>
      </c>
      <c r="C136" s="21">
        <v>12355.0</v>
      </c>
      <c r="D136" s="21">
        <v>1.0</v>
      </c>
      <c r="E136" s="21">
        <v>162.0</v>
      </c>
      <c r="F136" s="21">
        <v>16.0</v>
      </c>
      <c r="G136" s="21">
        <v>111216.0</v>
      </c>
      <c r="H136" s="22"/>
      <c r="I136" s="22"/>
      <c r="J136" s="21">
        <v>25.0</v>
      </c>
      <c r="K136" s="21">
        <v>189469.0</v>
      </c>
      <c r="L136" s="21">
        <v>3.0</v>
      </c>
      <c r="M136" s="21">
        <v>29132.0</v>
      </c>
      <c r="N136" s="21">
        <v>4.0</v>
      </c>
      <c r="O136" s="21">
        <v>18076.0</v>
      </c>
      <c r="P136" s="21">
        <v>14.0</v>
      </c>
      <c r="Q136" s="21">
        <v>139521.0</v>
      </c>
      <c r="R136" s="21">
        <v>5.0</v>
      </c>
      <c r="S136" s="21">
        <v>538886.0</v>
      </c>
      <c r="T136" s="15">
        <f t="shared" ref="T136:U136" si="132">B136+D136+F136+H136+J136+L136+N136+P136+R136</f>
        <v>71</v>
      </c>
      <c r="U136" s="15">
        <f t="shared" si="132"/>
        <v>1038817</v>
      </c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21" t="s">
        <v>512</v>
      </c>
      <c r="B137" s="21">
        <v>2.0</v>
      </c>
      <c r="C137" s="21">
        <v>10238.0</v>
      </c>
      <c r="D137" s="22"/>
      <c r="E137" s="22"/>
      <c r="F137" s="21">
        <v>8.0</v>
      </c>
      <c r="G137" s="21">
        <v>54446.0</v>
      </c>
      <c r="H137" s="22"/>
      <c r="I137" s="22"/>
      <c r="J137" s="21">
        <v>5.0</v>
      </c>
      <c r="K137" s="21">
        <v>36024.0</v>
      </c>
      <c r="L137" s="22"/>
      <c r="M137" s="22"/>
      <c r="N137" s="21">
        <v>1.0</v>
      </c>
      <c r="O137" s="21">
        <v>151080.0</v>
      </c>
      <c r="P137" s="21">
        <v>6.0</v>
      </c>
      <c r="Q137" s="21">
        <v>14884.0</v>
      </c>
      <c r="R137" s="22"/>
      <c r="S137" s="22"/>
      <c r="T137" s="15">
        <f t="shared" ref="T137:U137" si="133">B137+D137+F137+H137+J137+L137+N137+P137+R137</f>
        <v>22</v>
      </c>
      <c r="U137" s="15">
        <f t="shared" si="133"/>
        <v>266672</v>
      </c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21" t="s">
        <v>513</v>
      </c>
      <c r="B138" s="22"/>
      <c r="C138" s="22"/>
      <c r="D138" s="22"/>
      <c r="E138" s="22"/>
      <c r="F138" s="21">
        <v>41.0</v>
      </c>
      <c r="G138" s="21">
        <v>299276.0</v>
      </c>
      <c r="H138" s="22"/>
      <c r="I138" s="22"/>
      <c r="J138" s="21">
        <v>60.0</v>
      </c>
      <c r="K138" s="21">
        <v>454305.0</v>
      </c>
      <c r="L138" s="21">
        <v>3.0</v>
      </c>
      <c r="M138" s="21">
        <v>74600.0</v>
      </c>
      <c r="N138" s="22"/>
      <c r="O138" s="22"/>
      <c r="P138" s="21">
        <v>24.0</v>
      </c>
      <c r="Q138" s="21">
        <v>176478.0</v>
      </c>
      <c r="R138" s="22"/>
      <c r="S138" s="22"/>
      <c r="T138" s="15">
        <f t="shared" ref="T138:U138" si="134">B138+D138+F138+H138+J138+L138+N138+P138+R138</f>
        <v>128</v>
      </c>
      <c r="U138" s="15">
        <f t="shared" si="134"/>
        <v>1004659</v>
      </c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21" t="s">
        <v>514</v>
      </c>
      <c r="B139" s="22"/>
      <c r="C139" s="22"/>
      <c r="D139" s="22"/>
      <c r="E139" s="22"/>
      <c r="F139" s="21">
        <v>14.0</v>
      </c>
      <c r="G139" s="21">
        <v>100558.0</v>
      </c>
      <c r="H139" s="22"/>
      <c r="I139" s="22"/>
      <c r="J139" s="21">
        <v>59.0</v>
      </c>
      <c r="K139" s="21">
        <v>376742.0</v>
      </c>
      <c r="L139" s="22"/>
      <c r="M139" s="22"/>
      <c r="N139" s="22"/>
      <c r="O139" s="22"/>
      <c r="P139" s="21">
        <v>15.0</v>
      </c>
      <c r="Q139" s="21">
        <v>142681.0</v>
      </c>
      <c r="R139" s="22"/>
      <c r="S139" s="22"/>
      <c r="T139" s="15">
        <f t="shared" ref="T139:U139" si="135">B139+D139+F139+H139+J139+L139+N139+P139+R139</f>
        <v>88</v>
      </c>
      <c r="U139" s="15">
        <f t="shared" si="135"/>
        <v>619981</v>
      </c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21" t="s">
        <v>515</v>
      </c>
      <c r="B140" s="21">
        <v>11.0</v>
      </c>
      <c r="C140" s="21">
        <v>90604.0</v>
      </c>
      <c r="D140" s="22"/>
      <c r="E140" s="22"/>
      <c r="F140" s="21">
        <v>1.0</v>
      </c>
      <c r="G140" s="21">
        <v>11052.0</v>
      </c>
      <c r="H140" s="22"/>
      <c r="I140" s="22"/>
      <c r="J140" s="21">
        <v>12.0</v>
      </c>
      <c r="K140" s="21">
        <v>70322.0</v>
      </c>
      <c r="L140" s="21">
        <v>1.0</v>
      </c>
      <c r="M140" s="21">
        <v>24560.0</v>
      </c>
      <c r="N140" s="21">
        <v>6.0</v>
      </c>
      <c r="O140" s="21">
        <v>37350.0</v>
      </c>
      <c r="P140" s="21">
        <v>3.0</v>
      </c>
      <c r="Q140" s="21">
        <v>16508.0</v>
      </c>
      <c r="R140" s="22"/>
      <c r="S140" s="22"/>
      <c r="T140" s="15">
        <f t="shared" ref="T140:U140" si="136">B140+D140+F140+H140+J140+L140+N140+P140+R140</f>
        <v>34</v>
      </c>
      <c r="U140" s="15">
        <f t="shared" si="136"/>
        <v>250396</v>
      </c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21" t="s">
        <v>516</v>
      </c>
      <c r="B141" s="22"/>
      <c r="C141" s="22"/>
      <c r="D141" s="22"/>
      <c r="E141" s="22"/>
      <c r="F141" s="22"/>
      <c r="G141" s="22"/>
      <c r="H141" s="21">
        <v>2.0</v>
      </c>
      <c r="I141" s="21">
        <v>1040.0</v>
      </c>
      <c r="J141" s="21">
        <v>1.0</v>
      </c>
      <c r="K141" s="21">
        <v>4236.0</v>
      </c>
      <c r="L141" s="22"/>
      <c r="M141" s="22"/>
      <c r="N141" s="22"/>
      <c r="O141" s="22"/>
      <c r="P141" s="22"/>
      <c r="Q141" s="22"/>
      <c r="R141" s="21">
        <v>1.0</v>
      </c>
      <c r="S141" s="21">
        <v>7552.0</v>
      </c>
      <c r="T141" s="15">
        <f t="shared" ref="T141:U141" si="137">B141+D141+F141+H141+J141+L141+N141+P141+R141</f>
        <v>4</v>
      </c>
      <c r="U141" s="15">
        <f t="shared" si="137"/>
        <v>12828</v>
      </c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21" t="s">
        <v>517</v>
      </c>
      <c r="B142" s="21">
        <v>3.0</v>
      </c>
      <c r="C142" s="21">
        <v>17579.0</v>
      </c>
      <c r="D142" s="22"/>
      <c r="E142" s="22"/>
      <c r="F142" s="21">
        <v>42.0</v>
      </c>
      <c r="G142" s="21">
        <v>300292.0</v>
      </c>
      <c r="H142" s="22"/>
      <c r="I142" s="22"/>
      <c r="J142" s="21">
        <v>29.0</v>
      </c>
      <c r="K142" s="21">
        <v>158374.0</v>
      </c>
      <c r="L142" s="22"/>
      <c r="M142" s="22"/>
      <c r="N142" s="22"/>
      <c r="O142" s="22"/>
      <c r="P142" s="21">
        <v>24.0</v>
      </c>
      <c r="Q142" s="21">
        <v>175982.0</v>
      </c>
      <c r="R142" s="21">
        <v>2.0</v>
      </c>
      <c r="S142" s="21">
        <v>27006.0</v>
      </c>
      <c r="T142" s="15">
        <f t="shared" ref="T142:U142" si="138">B142+D142+F142+H142+J142+L142+N142+P142+R142</f>
        <v>100</v>
      </c>
      <c r="U142" s="15">
        <f t="shared" si="138"/>
        <v>679233</v>
      </c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21" t="s">
        <v>521</v>
      </c>
      <c r="B143" s="22"/>
      <c r="C143" s="22"/>
      <c r="D143" s="21">
        <v>4.0</v>
      </c>
      <c r="E143" s="21">
        <v>13138.0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1">
        <v>1.0</v>
      </c>
      <c r="Q143" s="21">
        <v>3789.0</v>
      </c>
      <c r="R143" s="22"/>
      <c r="S143" s="22"/>
      <c r="T143" s="15">
        <f t="shared" ref="T143:U143" si="139">B143+D143+F143+H143+J143+L143+N143+P143+R143</f>
        <v>5</v>
      </c>
      <c r="U143" s="15">
        <f t="shared" si="139"/>
        <v>16927</v>
      </c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21" t="s">
        <v>531</v>
      </c>
      <c r="B144" s="21">
        <v>15.0</v>
      </c>
      <c r="C144" s="21">
        <v>132246.0</v>
      </c>
      <c r="D144" s="21">
        <v>2.0</v>
      </c>
      <c r="E144" s="21">
        <v>6897.0</v>
      </c>
      <c r="F144" s="21">
        <v>1.0</v>
      </c>
      <c r="G144" s="21">
        <v>5479.0</v>
      </c>
      <c r="H144" s="22"/>
      <c r="I144" s="22"/>
      <c r="J144" s="21">
        <v>61.0</v>
      </c>
      <c r="K144" s="21">
        <v>1538130.0</v>
      </c>
      <c r="L144" s="21">
        <v>1.0</v>
      </c>
      <c r="M144" s="21">
        <v>12511.0</v>
      </c>
      <c r="N144" s="21">
        <v>11.0</v>
      </c>
      <c r="O144" s="21">
        <v>44564.0</v>
      </c>
      <c r="P144" s="21">
        <v>9.0</v>
      </c>
      <c r="Q144" s="21">
        <v>29732.0</v>
      </c>
      <c r="R144" s="21">
        <v>1.0</v>
      </c>
      <c r="S144" s="21">
        <v>15771.0</v>
      </c>
      <c r="T144" s="15">
        <f t="shared" ref="T144:U144" si="140">B144+D144+F144+H144+J144+L144+N144+P144+R144</f>
        <v>101</v>
      </c>
      <c r="U144" s="15">
        <f t="shared" si="140"/>
        <v>1785330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21" t="s">
        <v>534</v>
      </c>
      <c r="B145" s="21">
        <v>24.0</v>
      </c>
      <c r="C145" s="21">
        <v>268413.0</v>
      </c>
      <c r="D145" s="21">
        <v>6.0</v>
      </c>
      <c r="E145" s="21">
        <v>48447.0</v>
      </c>
      <c r="F145" s="21">
        <v>4.0</v>
      </c>
      <c r="G145" s="21">
        <v>14806.0</v>
      </c>
      <c r="H145" s="22"/>
      <c r="I145" s="22"/>
      <c r="J145" s="21">
        <v>39.0</v>
      </c>
      <c r="K145" s="21">
        <v>750483.0</v>
      </c>
      <c r="L145" s="21">
        <v>1.0</v>
      </c>
      <c r="M145" s="21">
        <v>12511.0</v>
      </c>
      <c r="N145" s="21">
        <v>12.0</v>
      </c>
      <c r="O145" s="21">
        <v>54448.0</v>
      </c>
      <c r="P145" s="21">
        <v>8.0</v>
      </c>
      <c r="Q145" s="21">
        <v>29560.0</v>
      </c>
      <c r="R145" s="21">
        <v>1.0</v>
      </c>
      <c r="S145" s="21">
        <v>15771.0</v>
      </c>
      <c r="T145" s="15">
        <f t="shared" ref="T145:U145" si="141">B145+D145+F145+H145+J145+L145+N145+P145+R145</f>
        <v>95</v>
      </c>
      <c r="U145" s="15">
        <f t="shared" si="141"/>
        <v>1194439</v>
      </c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21" t="s">
        <v>539</v>
      </c>
      <c r="B146" s="21">
        <v>60.0</v>
      </c>
      <c r="C146" s="21">
        <v>177584.0</v>
      </c>
      <c r="D146" s="21">
        <v>4.0</v>
      </c>
      <c r="E146" s="21">
        <v>719.0</v>
      </c>
      <c r="F146" s="22"/>
      <c r="G146" s="22"/>
      <c r="H146" s="22"/>
      <c r="I146" s="22"/>
      <c r="J146" s="21">
        <v>2.0</v>
      </c>
      <c r="K146" s="21">
        <v>38951.0</v>
      </c>
      <c r="L146" s="22"/>
      <c r="M146" s="22"/>
      <c r="N146" s="22"/>
      <c r="O146" s="22"/>
      <c r="P146" s="22"/>
      <c r="Q146" s="22"/>
      <c r="R146" s="22"/>
      <c r="S146" s="22"/>
      <c r="T146" s="15">
        <f t="shared" ref="T146:U146" si="142">B146+D146+F146+H146+J146+L146+N146+P146+R146</f>
        <v>66</v>
      </c>
      <c r="U146" s="15">
        <f t="shared" si="142"/>
        <v>217254</v>
      </c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21" t="s">
        <v>542</v>
      </c>
      <c r="B147" s="22"/>
      <c r="C147" s="22"/>
      <c r="D147" s="21">
        <v>2.0</v>
      </c>
      <c r="E147" s="21">
        <v>1788.0</v>
      </c>
      <c r="F147" s="22"/>
      <c r="G147" s="22"/>
      <c r="H147" s="22"/>
      <c r="I147" s="22"/>
      <c r="J147" s="21">
        <v>10.0</v>
      </c>
      <c r="K147" s="21">
        <v>47778.0</v>
      </c>
      <c r="L147" s="22"/>
      <c r="M147" s="22"/>
      <c r="N147" s="22"/>
      <c r="O147" s="22"/>
      <c r="P147" s="22"/>
      <c r="Q147" s="22"/>
      <c r="R147" s="21">
        <v>1.0</v>
      </c>
      <c r="S147" s="21">
        <v>13602.0</v>
      </c>
      <c r="T147" s="15">
        <f t="shared" ref="T147:U147" si="143">B147+D147+F147+H147+J147+L147+N147+P147+R147</f>
        <v>13</v>
      </c>
      <c r="U147" s="15">
        <f t="shared" si="143"/>
        <v>63168</v>
      </c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21" t="s">
        <v>543</v>
      </c>
      <c r="B148" s="21">
        <v>33.0</v>
      </c>
      <c r="C148" s="21">
        <v>2692780.0</v>
      </c>
      <c r="D148" s="21">
        <v>22.0</v>
      </c>
      <c r="E148" s="21">
        <v>74514.0</v>
      </c>
      <c r="F148" s="22"/>
      <c r="G148" s="22"/>
      <c r="H148" s="22"/>
      <c r="I148" s="22"/>
      <c r="J148" s="21">
        <v>224.0</v>
      </c>
      <c r="K148" s="21">
        <v>4664391.0</v>
      </c>
      <c r="L148" s="22"/>
      <c r="M148" s="22"/>
      <c r="N148" s="21">
        <v>1.0</v>
      </c>
      <c r="O148" s="21">
        <v>3711.0</v>
      </c>
      <c r="P148" s="21">
        <v>7.0</v>
      </c>
      <c r="Q148" s="21">
        <v>29869.0</v>
      </c>
      <c r="R148" s="21">
        <v>2.0</v>
      </c>
      <c r="S148" s="21">
        <v>680137.0</v>
      </c>
      <c r="T148" s="15">
        <f t="shared" ref="T148:U148" si="144">B148+D148+F148+H148+J148+L148+N148+P148+R148</f>
        <v>289</v>
      </c>
      <c r="U148" s="15">
        <f t="shared" si="144"/>
        <v>8145402</v>
      </c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21" t="s">
        <v>546</v>
      </c>
      <c r="B149" s="21">
        <v>6.0</v>
      </c>
      <c r="C149" s="21">
        <v>267116.0</v>
      </c>
      <c r="D149" s="21">
        <v>26.0</v>
      </c>
      <c r="E149" s="21">
        <v>1254.0</v>
      </c>
      <c r="F149" s="21">
        <v>27.0</v>
      </c>
      <c r="G149" s="21">
        <v>281164.0</v>
      </c>
      <c r="H149" s="22"/>
      <c r="I149" s="22"/>
      <c r="J149" s="21">
        <v>27.0</v>
      </c>
      <c r="K149" s="21">
        <v>76065.0</v>
      </c>
      <c r="L149" s="22"/>
      <c r="M149" s="22"/>
      <c r="N149" s="21">
        <v>4.0</v>
      </c>
      <c r="O149" s="21">
        <v>492144.0</v>
      </c>
      <c r="P149" s="22"/>
      <c r="Q149" s="22"/>
      <c r="R149" s="21">
        <v>30.0</v>
      </c>
      <c r="S149" s="21">
        <v>2395576.0</v>
      </c>
      <c r="T149" s="15">
        <f t="shared" ref="T149:U149" si="145">B149+D149+F149+H149+J149+L149+N149+P149+R149</f>
        <v>120</v>
      </c>
      <c r="U149" s="15">
        <f t="shared" si="145"/>
        <v>3513319</v>
      </c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21" t="s">
        <v>547</v>
      </c>
      <c r="B150" s="21">
        <v>1.0</v>
      </c>
      <c r="C150" s="21">
        <v>14811.0</v>
      </c>
      <c r="D150" s="21">
        <v>5.0</v>
      </c>
      <c r="E150" s="21">
        <v>6928.0</v>
      </c>
      <c r="F150" s="22"/>
      <c r="G150" s="22"/>
      <c r="H150" s="22"/>
      <c r="I150" s="22"/>
      <c r="J150" s="21">
        <v>3.0</v>
      </c>
      <c r="K150" s="21">
        <v>63679.0</v>
      </c>
      <c r="L150" s="22"/>
      <c r="M150" s="22"/>
      <c r="N150" s="22"/>
      <c r="O150" s="22"/>
      <c r="P150" s="21">
        <v>1.0</v>
      </c>
      <c r="Q150" s="21">
        <v>962.0</v>
      </c>
      <c r="R150" s="22"/>
      <c r="S150" s="22"/>
      <c r="T150" s="15">
        <f t="shared" ref="T150:U150" si="146">B150+D150+F150+H150+J150+L150+N150+P150+R150</f>
        <v>10</v>
      </c>
      <c r="U150" s="15">
        <f t="shared" si="146"/>
        <v>86380</v>
      </c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21" t="s">
        <v>552</v>
      </c>
      <c r="B151" s="21">
        <v>5.0</v>
      </c>
      <c r="C151" s="21">
        <v>54809.0</v>
      </c>
      <c r="D151" s="21">
        <v>9.0</v>
      </c>
      <c r="E151" s="21">
        <v>30185.0</v>
      </c>
      <c r="F151" s="21">
        <v>6.0</v>
      </c>
      <c r="G151" s="21">
        <v>20915.0</v>
      </c>
      <c r="H151" s="22"/>
      <c r="I151" s="22"/>
      <c r="J151" s="21">
        <v>39.0</v>
      </c>
      <c r="K151" s="21">
        <v>910349.0</v>
      </c>
      <c r="L151" s="21">
        <v>1.0</v>
      </c>
      <c r="M151" s="21">
        <v>12491.0</v>
      </c>
      <c r="N151" s="21">
        <v>5.0</v>
      </c>
      <c r="O151" s="21">
        <v>15603.0</v>
      </c>
      <c r="P151" s="21">
        <v>7.0</v>
      </c>
      <c r="Q151" s="21">
        <v>28178.0</v>
      </c>
      <c r="R151" s="21">
        <v>2.0</v>
      </c>
      <c r="S151" s="21">
        <v>387909.0</v>
      </c>
      <c r="T151" s="15">
        <f t="shared" ref="T151:U151" si="147">B151+D151+F151+H151+J151+L151+N151+P151+R151</f>
        <v>74</v>
      </c>
      <c r="U151" s="15">
        <f t="shared" si="147"/>
        <v>1460439</v>
      </c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21" t="s">
        <v>555</v>
      </c>
      <c r="B152" s="21">
        <v>6.0</v>
      </c>
      <c r="C152" s="21">
        <v>49590.0</v>
      </c>
      <c r="D152" s="22"/>
      <c r="E152" s="22"/>
      <c r="F152" s="22"/>
      <c r="G152" s="22"/>
      <c r="H152" s="22"/>
      <c r="I152" s="22"/>
      <c r="J152" s="22"/>
      <c r="K152" s="22"/>
      <c r="L152" s="21">
        <v>1.0</v>
      </c>
      <c r="M152" s="21">
        <v>12484.0</v>
      </c>
      <c r="N152" s="22"/>
      <c r="O152" s="22"/>
      <c r="P152" s="22"/>
      <c r="Q152" s="22"/>
      <c r="R152" s="21">
        <v>1.0</v>
      </c>
      <c r="S152" s="21">
        <v>379475.0</v>
      </c>
      <c r="T152" s="15">
        <f t="shared" ref="T152:U152" si="148">B152+D152+F152+H152+J152+L152+N152+P152+R152</f>
        <v>8</v>
      </c>
      <c r="U152" s="15">
        <f t="shared" si="148"/>
        <v>441549</v>
      </c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21" t="s">
        <v>558</v>
      </c>
      <c r="B153" s="21">
        <v>9.0</v>
      </c>
      <c r="C153" s="21">
        <v>133915.0</v>
      </c>
      <c r="D153" s="21">
        <v>1.0</v>
      </c>
      <c r="E153" s="21">
        <v>14332.0</v>
      </c>
      <c r="F153" s="21">
        <v>1.0</v>
      </c>
      <c r="G153" s="21">
        <v>5447.0</v>
      </c>
      <c r="H153" s="22"/>
      <c r="I153" s="22"/>
      <c r="J153" s="21">
        <v>5.0</v>
      </c>
      <c r="K153" s="21">
        <v>120219.0</v>
      </c>
      <c r="L153" s="21">
        <v>1.0</v>
      </c>
      <c r="M153" s="21">
        <v>46888.0</v>
      </c>
      <c r="N153" s="21">
        <v>1.0</v>
      </c>
      <c r="O153" s="21">
        <v>13508.0</v>
      </c>
      <c r="P153" s="21">
        <v>2.0</v>
      </c>
      <c r="Q153" s="21">
        <v>3656.0</v>
      </c>
      <c r="R153" s="21">
        <v>1.0</v>
      </c>
      <c r="S153" s="21">
        <v>207828.0</v>
      </c>
      <c r="T153" s="20">
        <f t="shared" ref="T153:U153" si="149">sum(T5:T152)</f>
        <v>7710</v>
      </c>
      <c r="U153" s="20" t="str">
        <f t="shared" si="149"/>
        <v>#VALUE!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15"/>
      <c r="U154" s="15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15"/>
      <c r="U155" s="15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15"/>
      <c r="U156" s="15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15"/>
      <c r="U157" s="15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15"/>
      <c r="U158" s="15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15"/>
      <c r="U159" s="15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15"/>
      <c r="U160" s="15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15"/>
      <c r="U161" s="15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41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5"/>
      <c r="U162" s="15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5"/>
      <c r="U163" s="15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5"/>
      <c r="U164" s="15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5"/>
      <c r="U165" s="15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5"/>
      <c r="U166" s="15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5"/>
      <c r="U167" s="15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5"/>
      <c r="U168" s="15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5"/>
      <c r="U169" s="15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5"/>
      <c r="U170" s="15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5"/>
      <c r="U171" s="15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5"/>
      <c r="U172" s="15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5"/>
      <c r="U173" s="15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5"/>
      <c r="U174" s="15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5"/>
      <c r="U175" s="15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5"/>
      <c r="U176" s="15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5"/>
      <c r="U177" s="15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5"/>
      <c r="U178" s="15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5"/>
      <c r="U179" s="15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5"/>
      <c r="U180" s="15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5"/>
      <c r="U181" s="15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5"/>
      <c r="U182" s="15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5"/>
      <c r="U183" s="15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5"/>
      <c r="U184" s="15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5"/>
      <c r="U185" s="15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5"/>
      <c r="U186" s="15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5"/>
      <c r="U187" s="15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5"/>
      <c r="U188" s="15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5"/>
      <c r="U189" s="15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5"/>
      <c r="U190" s="15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5"/>
      <c r="U191" s="15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5"/>
      <c r="U192" s="15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5"/>
      <c r="U193" s="15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5"/>
      <c r="U194" s="15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5"/>
      <c r="U195" s="15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5"/>
      <c r="U196" s="15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5"/>
      <c r="U197" s="15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5"/>
      <c r="U198" s="15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5"/>
      <c r="U199" s="15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5"/>
      <c r="U200" s="15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5"/>
      <c r="U201" s="15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5"/>
      <c r="U202" s="15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5"/>
      <c r="U203" s="15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5"/>
      <c r="U204" s="15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5"/>
      <c r="U205" s="15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5"/>
      <c r="U206" s="15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5"/>
      <c r="U207" s="15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5"/>
      <c r="U208" s="15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5"/>
      <c r="U209" s="15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5"/>
      <c r="U210" s="15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5"/>
      <c r="U211" s="15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5"/>
      <c r="U212" s="15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5"/>
      <c r="U213" s="15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5"/>
      <c r="U214" s="15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5"/>
      <c r="U215" s="15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5"/>
      <c r="U216" s="15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5"/>
      <c r="U217" s="15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5"/>
      <c r="U218" s="15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5"/>
      <c r="U219" s="15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5"/>
      <c r="U220" s="15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5"/>
      <c r="U221" s="15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5"/>
      <c r="U222" s="15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5"/>
      <c r="U223" s="15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5"/>
      <c r="U224" s="15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5"/>
      <c r="U225" s="15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5"/>
      <c r="U226" s="15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5"/>
      <c r="U227" s="15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5"/>
      <c r="U228" s="15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5"/>
      <c r="U229" s="15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5"/>
      <c r="U230" s="15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5"/>
      <c r="U231" s="15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5"/>
      <c r="U232" s="15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5"/>
      <c r="U233" s="15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5"/>
      <c r="U234" s="15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5"/>
      <c r="U235" s="15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5"/>
      <c r="U236" s="15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5"/>
      <c r="U237" s="15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5"/>
      <c r="U238" s="15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5"/>
      <c r="U239" s="15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5"/>
      <c r="U240" s="15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5"/>
      <c r="U241" s="15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5"/>
      <c r="U242" s="15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5"/>
      <c r="U243" s="15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5"/>
      <c r="U244" s="15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5"/>
      <c r="U245" s="15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5"/>
      <c r="U246" s="15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5"/>
      <c r="U247" s="15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5"/>
      <c r="U248" s="15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5"/>
      <c r="U249" s="15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5"/>
      <c r="U250" s="15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5"/>
      <c r="U251" s="15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5"/>
      <c r="U252" s="15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5"/>
      <c r="U253" s="15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5"/>
      <c r="U254" s="15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5"/>
      <c r="U255" s="15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5"/>
      <c r="U256" s="15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5"/>
      <c r="U257" s="15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5"/>
      <c r="U258" s="15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5"/>
      <c r="U259" s="15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5"/>
      <c r="U260" s="15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5"/>
      <c r="U261" s="15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5"/>
      <c r="U262" s="15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5"/>
      <c r="U263" s="15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5"/>
      <c r="U264" s="15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5"/>
      <c r="U265" s="15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5"/>
      <c r="U266" s="15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5"/>
      <c r="U267" s="15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5"/>
      <c r="U268" s="15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5"/>
      <c r="U269" s="15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5"/>
      <c r="U270" s="15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5"/>
      <c r="U271" s="15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5"/>
      <c r="U272" s="15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5"/>
      <c r="U273" s="15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5"/>
      <c r="U274" s="15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5"/>
      <c r="U275" s="15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5"/>
      <c r="U276" s="15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5"/>
      <c r="U277" s="15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5"/>
      <c r="U278" s="15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5"/>
      <c r="U279" s="15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5"/>
      <c r="U280" s="15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5"/>
      <c r="U281" s="15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5"/>
      <c r="U282" s="15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5"/>
      <c r="U283" s="15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5"/>
      <c r="U284" s="15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5"/>
      <c r="U285" s="15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5"/>
      <c r="U286" s="15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5"/>
      <c r="U287" s="15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5"/>
      <c r="U288" s="15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5"/>
      <c r="U289" s="15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5"/>
      <c r="U290" s="15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5"/>
      <c r="U291" s="15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5"/>
      <c r="U292" s="15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5"/>
      <c r="U293" s="15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5"/>
      <c r="U294" s="15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5"/>
      <c r="U295" s="15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5"/>
      <c r="U296" s="15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5"/>
      <c r="U297" s="15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5"/>
      <c r="U298" s="15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5"/>
      <c r="U299" s="15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5"/>
      <c r="U300" s="15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5"/>
      <c r="U301" s="15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5"/>
      <c r="U302" s="15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5"/>
      <c r="U303" s="15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5"/>
      <c r="U304" s="15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5"/>
      <c r="U305" s="15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5"/>
      <c r="U306" s="15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5"/>
      <c r="U307" s="15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5"/>
      <c r="U308" s="15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5"/>
      <c r="U309" s="15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5"/>
      <c r="U310" s="15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5"/>
      <c r="U311" s="15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5"/>
      <c r="U312" s="15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5"/>
      <c r="U313" s="15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5"/>
      <c r="U314" s="15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5"/>
      <c r="U315" s="15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5"/>
      <c r="U316" s="15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5"/>
      <c r="U317" s="15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5"/>
      <c r="U318" s="15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5"/>
      <c r="U319" s="15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5"/>
      <c r="U320" s="15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5"/>
      <c r="U321" s="15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5"/>
      <c r="U322" s="15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5"/>
      <c r="U323" s="15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5"/>
      <c r="U324" s="15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5"/>
      <c r="U325" s="15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5"/>
      <c r="U326" s="15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5"/>
      <c r="U327" s="15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5"/>
      <c r="U328" s="15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5"/>
      <c r="U329" s="15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5"/>
      <c r="U330" s="15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5"/>
      <c r="U331" s="15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5"/>
      <c r="U332" s="15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5"/>
      <c r="U333" s="15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5"/>
      <c r="U334" s="15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5"/>
      <c r="U335" s="15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5"/>
      <c r="U336" s="15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5"/>
      <c r="U337" s="15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5"/>
      <c r="U338" s="15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5"/>
      <c r="U339" s="15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5"/>
      <c r="U340" s="15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5"/>
      <c r="U341" s="15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5"/>
      <c r="U342" s="15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5"/>
      <c r="U343" s="15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5"/>
      <c r="U344" s="15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5"/>
      <c r="U345" s="15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5"/>
      <c r="U346" s="15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5"/>
      <c r="U347" s="15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5"/>
      <c r="U348" s="15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5"/>
      <c r="U349" s="15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5"/>
      <c r="U350" s="15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5"/>
      <c r="U351" s="15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5"/>
      <c r="U352" s="15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5"/>
      <c r="U353" s="15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5"/>
      <c r="U354" s="15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5"/>
      <c r="U355" s="15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5"/>
      <c r="U356" s="15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5"/>
      <c r="U357" s="15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5"/>
      <c r="U358" s="15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5"/>
      <c r="U359" s="15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5"/>
      <c r="U360" s="15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5"/>
      <c r="U361" s="15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5"/>
      <c r="U362" s="15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5"/>
      <c r="U363" s="15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5"/>
      <c r="U364" s="15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5"/>
      <c r="U365" s="15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5"/>
      <c r="U366" s="15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5"/>
      <c r="U367" s="15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5"/>
      <c r="U368" s="15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5"/>
      <c r="U369" s="15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5"/>
      <c r="U370" s="15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5"/>
      <c r="U371" s="15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5"/>
      <c r="U372" s="15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5"/>
      <c r="U373" s="15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5"/>
      <c r="U374" s="15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5"/>
      <c r="U375" s="15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5"/>
      <c r="U376" s="15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5"/>
      <c r="U377" s="15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5"/>
      <c r="U378" s="15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5"/>
      <c r="U379" s="15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5"/>
      <c r="U380" s="15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5"/>
      <c r="U381" s="15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5"/>
      <c r="U382" s="15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5"/>
      <c r="U383" s="15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5"/>
      <c r="U384" s="15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5"/>
      <c r="U385" s="15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5"/>
      <c r="U386" s="15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5"/>
      <c r="U387" s="15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5"/>
      <c r="U388" s="15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5"/>
      <c r="U389" s="15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5"/>
      <c r="U390" s="15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5"/>
      <c r="U391" s="15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5"/>
      <c r="U392" s="15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5"/>
      <c r="U393" s="15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5"/>
      <c r="U394" s="15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5"/>
      <c r="U395" s="15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5"/>
      <c r="U396" s="15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5"/>
      <c r="U397" s="15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5"/>
      <c r="U398" s="15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5"/>
      <c r="U399" s="15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5"/>
      <c r="U400" s="15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5"/>
      <c r="U401" s="1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5"/>
      <c r="U402" s="15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5"/>
      <c r="U403" s="15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5"/>
      <c r="U404" s="15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5"/>
      <c r="U405" s="15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5"/>
      <c r="U406" s="15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5"/>
      <c r="U407" s="15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5"/>
      <c r="U408" s="15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5"/>
      <c r="U409" s="15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5"/>
      <c r="U410" s="15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5"/>
      <c r="U411" s="15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5"/>
      <c r="U412" s="15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5"/>
      <c r="U413" s="15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5"/>
      <c r="U414" s="15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5"/>
      <c r="U415" s="15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5"/>
      <c r="U416" s="15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5"/>
      <c r="U417" s="15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5"/>
      <c r="U418" s="15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5"/>
      <c r="U419" s="15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5"/>
      <c r="U420" s="15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5"/>
      <c r="U421" s="15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5"/>
      <c r="U422" s="15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5"/>
      <c r="U423" s="15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5"/>
      <c r="U424" s="15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5"/>
      <c r="U425" s="15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5"/>
      <c r="U426" s="15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5"/>
      <c r="U427" s="15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5"/>
      <c r="U428" s="15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5"/>
      <c r="U429" s="15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5"/>
      <c r="U430" s="15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5"/>
      <c r="U431" s="15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5"/>
      <c r="U432" s="15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5"/>
      <c r="U433" s="15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5"/>
      <c r="U434" s="15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5"/>
      <c r="U435" s="15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5"/>
      <c r="U436" s="15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5"/>
      <c r="U437" s="15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5"/>
      <c r="U438" s="15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5"/>
      <c r="U439" s="15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5"/>
      <c r="U440" s="15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5"/>
      <c r="U441" s="15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5"/>
      <c r="U442" s="15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5"/>
      <c r="U443" s="1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5"/>
      <c r="U444" s="15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5"/>
      <c r="U445" s="15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5"/>
      <c r="U446" s="15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5"/>
      <c r="U447" s="15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5"/>
      <c r="U448" s="15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5"/>
      <c r="U449" s="15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5"/>
      <c r="U450" s="15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5"/>
      <c r="U451" s="15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5"/>
      <c r="U452" s="15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5"/>
      <c r="U453" s="15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5"/>
      <c r="U454" s="15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5"/>
      <c r="U455" s="15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5"/>
      <c r="U456" s="15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5"/>
      <c r="U457" s="15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5"/>
      <c r="U458" s="15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5"/>
      <c r="U459" s="15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5"/>
      <c r="U460" s="15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5"/>
      <c r="U461" s="15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5"/>
      <c r="U462" s="15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5"/>
      <c r="U463" s="15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5"/>
      <c r="U464" s="15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5"/>
      <c r="U465" s="15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5"/>
      <c r="U466" s="15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5"/>
      <c r="U467" s="15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5"/>
      <c r="U468" s="15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5"/>
      <c r="U469" s="15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5"/>
      <c r="U470" s="15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5"/>
      <c r="U471" s="15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5"/>
      <c r="U472" s="15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5"/>
      <c r="U473" s="15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5"/>
      <c r="U474" s="15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5"/>
      <c r="U475" s="15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5"/>
      <c r="U476" s="15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5"/>
      <c r="U477" s="15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5"/>
      <c r="U478" s="15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5"/>
      <c r="U479" s="15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5"/>
      <c r="U480" s="15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5"/>
      <c r="U481" s="15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5"/>
      <c r="U482" s="15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5"/>
      <c r="U483" s="15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5"/>
      <c r="U484" s="15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5"/>
      <c r="U485" s="15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5"/>
      <c r="U486" s="15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5"/>
      <c r="U487" s="15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5"/>
      <c r="U488" s="15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5"/>
      <c r="U489" s="15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5"/>
      <c r="U490" s="15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5"/>
      <c r="U491" s="15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5"/>
      <c r="U492" s="15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5"/>
      <c r="U493" s="15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5"/>
      <c r="U494" s="15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5"/>
      <c r="U495" s="15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5"/>
      <c r="U496" s="15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5"/>
      <c r="U497" s="15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5"/>
      <c r="U498" s="15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5"/>
      <c r="U499" s="15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5"/>
      <c r="U500" s="15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5"/>
      <c r="U501" s="15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5"/>
      <c r="U502" s="15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5"/>
      <c r="U503" s="15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5"/>
      <c r="U504" s="15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5"/>
      <c r="U505" s="15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5"/>
      <c r="U506" s="15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5"/>
      <c r="U507" s="15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5"/>
      <c r="U508" s="15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5"/>
      <c r="U509" s="15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5"/>
      <c r="U510" s="15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5"/>
      <c r="U511" s="15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5"/>
      <c r="U512" s="15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5"/>
      <c r="U513" s="15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5"/>
      <c r="U514" s="15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5"/>
      <c r="U515" s="15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5"/>
      <c r="U516" s="15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5"/>
      <c r="U517" s="15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5"/>
      <c r="U518" s="15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5"/>
      <c r="U519" s="15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5"/>
      <c r="U520" s="15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5"/>
      <c r="U521" s="15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5"/>
      <c r="U522" s="15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5"/>
      <c r="U523" s="15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5"/>
      <c r="U524" s="15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5"/>
      <c r="U525" s="15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5"/>
      <c r="U526" s="15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5"/>
      <c r="U527" s="15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5"/>
      <c r="U528" s="15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5"/>
      <c r="U529" s="15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5"/>
      <c r="U530" s="15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5"/>
      <c r="U531" s="15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5"/>
      <c r="U532" s="15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5"/>
      <c r="U533" s="15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5"/>
      <c r="U534" s="15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5"/>
      <c r="U535" s="15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5"/>
      <c r="U536" s="15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5"/>
      <c r="U537" s="15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5"/>
      <c r="U538" s="15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5"/>
      <c r="U539" s="15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5"/>
      <c r="U540" s="15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5"/>
      <c r="U541" s="15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5"/>
      <c r="U542" s="15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5"/>
      <c r="U543" s="15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5"/>
      <c r="U544" s="15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5"/>
      <c r="U545" s="15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5"/>
      <c r="U546" s="15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5"/>
      <c r="U547" s="15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5"/>
      <c r="U548" s="15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5"/>
      <c r="U549" s="15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5"/>
      <c r="U550" s="15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5"/>
      <c r="U551" s="15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5"/>
      <c r="U552" s="15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5"/>
      <c r="U553" s="15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5"/>
      <c r="U554" s="15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5"/>
      <c r="U555" s="15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5"/>
      <c r="U556" s="15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5"/>
      <c r="U557" s="15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5"/>
      <c r="U558" s="15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5"/>
      <c r="U559" s="15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5"/>
      <c r="U560" s="15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5"/>
      <c r="U561" s="15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5"/>
      <c r="U562" s="15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5"/>
      <c r="U563" s="15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5"/>
      <c r="U564" s="15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5"/>
      <c r="U565" s="15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5"/>
      <c r="U566" s="15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5"/>
      <c r="U567" s="15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5"/>
      <c r="U568" s="15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5"/>
      <c r="U569" s="15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5"/>
      <c r="U570" s="15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5"/>
      <c r="U571" s="15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5"/>
      <c r="U572" s="15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5"/>
      <c r="U573" s="15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5"/>
      <c r="U574" s="15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5"/>
      <c r="U575" s="15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5"/>
      <c r="U576" s="15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5"/>
      <c r="U577" s="15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5"/>
      <c r="U578" s="15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5"/>
      <c r="U579" s="15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5"/>
      <c r="U580" s="15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5"/>
      <c r="U581" s="15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5"/>
      <c r="U582" s="15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5"/>
      <c r="U583" s="15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5"/>
      <c r="U584" s="15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5"/>
      <c r="U585" s="15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5"/>
      <c r="U586" s="15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5"/>
      <c r="U587" s="15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5"/>
      <c r="U588" s="15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5"/>
      <c r="U589" s="15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5"/>
      <c r="U590" s="15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5"/>
      <c r="U591" s="15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5"/>
      <c r="U592" s="15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5"/>
      <c r="U593" s="15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5"/>
      <c r="U594" s="15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5"/>
      <c r="U595" s="15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5"/>
      <c r="U596" s="15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5"/>
      <c r="U597" s="15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5"/>
      <c r="U598" s="15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5"/>
      <c r="U599" s="15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5"/>
      <c r="U600" s="15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5"/>
      <c r="U601" s="15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5"/>
      <c r="U602" s="15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5"/>
      <c r="U603" s="15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5"/>
      <c r="U604" s="15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5"/>
      <c r="U605" s="15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5"/>
      <c r="U606" s="15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5"/>
      <c r="U607" s="15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5"/>
      <c r="U608" s="15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5"/>
      <c r="U609" s="15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5"/>
      <c r="U610" s="15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5"/>
      <c r="U611" s="15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5"/>
      <c r="U612" s="15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5"/>
      <c r="U613" s="15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5"/>
      <c r="U614" s="15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5"/>
      <c r="U615" s="15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5"/>
      <c r="U616" s="15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5"/>
      <c r="U617" s="15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5"/>
      <c r="U618" s="15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5"/>
      <c r="U619" s="15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5"/>
      <c r="U620" s="15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5"/>
      <c r="U621" s="15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5"/>
      <c r="U622" s="15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5"/>
      <c r="U623" s="15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5"/>
      <c r="U624" s="15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5"/>
      <c r="U625" s="15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5"/>
      <c r="U626" s="15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5"/>
      <c r="U627" s="15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5"/>
      <c r="U628" s="15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5"/>
      <c r="U629" s="15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5"/>
      <c r="U630" s="15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5"/>
      <c r="U631" s="15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5"/>
      <c r="U632" s="15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5"/>
      <c r="U633" s="15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5"/>
      <c r="U634" s="15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5"/>
      <c r="U635" s="15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5"/>
      <c r="U636" s="15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5"/>
      <c r="U637" s="15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5"/>
      <c r="U638" s="15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5"/>
      <c r="U639" s="15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5"/>
      <c r="U640" s="15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5"/>
      <c r="U641" s="15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5"/>
      <c r="U642" s="15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5"/>
      <c r="U643" s="15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5"/>
      <c r="U644" s="15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5"/>
      <c r="U645" s="15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5"/>
      <c r="U646" s="15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5"/>
      <c r="U647" s="15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5"/>
      <c r="U648" s="15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5"/>
      <c r="U649" s="15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5"/>
      <c r="U650" s="15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5"/>
      <c r="U651" s="15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5"/>
      <c r="U652" s="15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5"/>
      <c r="U653" s="15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5"/>
      <c r="U654" s="15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5"/>
      <c r="U655" s="15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5"/>
      <c r="U656" s="15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5"/>
      <c r="U657" s="15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5"/>
      <c r="U658" s="15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5"/>
      <c r="U659" s="15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5"/>
      <c r="U660" s="15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5"/>
      <c r="U661" s="15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5"/>
      <c r="U662" s="15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5"/>
      <c r="U663" s="15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5"/>
      <c r="U664" s="15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5"/>
      <c r="U665" s="15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5"/>
      <c r="U666" s="15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5"/>
      <c r="U667" s="15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5"/>
      <c r="U668" s="15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5"/>
      <c r="U669" s="15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5"/>
      <c r="U670" s="15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5"/>
      <c r="U671" s="15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5"/>
      <c r="U672" s="15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5"/>
      <c r="U673" s="15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5"/>
      <c r="U674" s="15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5"/>
      <c r="U675" s="15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5"/>
      <c r="U676" s="15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5"/>
      <c r="U677" s="15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5"/>
      <c r="U678" s="15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5"/>
      <c r="U679" s="15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5"/>
      <c r="U680" s="15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5"/>
      <c r="U681" s="15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5"/>
      <c r="U682" s="15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5"/>
      <c r="U683" s="15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5"/>
      <c r="U684" s="15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5"/>
      <c r="U685" s="15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5"/>
      <c r="U686" s="15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5"/>
      <c r="U687" s="15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5"/>
      <c r="U688" s="15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5"/>
      <c r="U689" s="15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5"/>
      <c r="U690" s="15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5"/>
      <c r="U691" s="15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5"/>
      <c r="U692" s="15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5"/>
      <c r="U693" s="15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5"/>
      <c r="U694" s="15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5"/>
      <c r="U695" s="15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5"/>
      <c r="U696" s="15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5"/>
      <c r="U697" s="15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5"/>
      <c r="U698" s="15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5"/>
      <c r="U699" s="15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5"/>
      <c r="U700" s="15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5"/>
      <c r="U701" s="15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5"/>
      <c r="U702" s="15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5"/>
      <c r="U703" s="15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5"/>
      <c r="U704" s="15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5"/>
      <c r="U705" s="15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5"/>
      <c r="U706" s="15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5"/>
      <c r="U707" s="15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5"/>
      <c r="U708" s="15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5"/>
      <c r="U709" s="15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5"/>
      <c r="U710" s="15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5"/>
      <c r="U711" s="15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5"/>
      <c r="U712" s="15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5"/>
      <c r="U713" s="15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5"/>
      <c r="U714" s="15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5"/>
      <c r="U715" s="15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5"/>
      <c r="U716" s="15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5"/>
      <c r="U717" s="15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5"/>
      <c r="U718" s="15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5"/>
      <c r="U719" s="15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5"/>
      <c r="U720" s="15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5"/>
      <c r="U721" s="15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5"/>
      <c r="U722" s="15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5"/>
      <c r="U723" s="15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5"/>
      <c r="U724" s="15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5"/>
      <c r="U725" s="15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5"/>
      <c r="U726" s="15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5"/>
      <c r="U727" s="15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5"/>
      <c r="U728" s="15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5"/>
      <c r="U729" s="15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5"/>
      <c r="U730" s="15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5"/>
      <c r="U731" s="15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5"/>
      <c r="U732" s="15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5"/>
      <c r="U733" s="15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5"/>
      <c r="U734" s="15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5"/>
      <c r="U735" s="15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5"/>
      <c r="U736" s="15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5"/>
      <c r="U737" s="15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5"/>
      <c r="U738" s="15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5"/>
      <c r="U739" s="15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5"/>
      <c r="U740" s="15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5"/>
      <c r="U741" s="15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5"/>
      <c r="U742" s="15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5"/>
      <c r="U743" s="15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5"/>
      <c r="U744" s="15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5"/>
      <c r="U745" s="15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5"/>
      <c r="U746" s="15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5"/>
      <c r="U747" s="15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5"/>
      <c r="U748" s="15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5"/>
      <c r="U749" s="15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5"/>
      <c r="U750" s="15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5"/>
      <c r="U751" s="15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5"/>
      <c r="U752" s="15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5"/>
      <c r="U753" s="15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5"/>
      <c r="U754" s="15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5"/>
      <c r="U755" s="15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5"/>
      <c r="U756" s="15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5"/>
      <c r="U757" s="15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5"/>
      <c r="U758" s="15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5"/>
      <c r="U759" s="15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5"/>
      <c r="U760" s="15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5"/>
      <c r="U761" s="15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5"/>
      <c r="U762" s="15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5"/>
      <c r="U763" s="15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5"/>
      <c r="U764" s="15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5"/>
      <c r="U765" s="15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5"/>
      <c r="U766" s="15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5"/>
      <c r="U767" s="15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5"/>
      <c r="U768" s="15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5"/>
      <c r="U769" s="15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5"/>
      <c r="U770" s="15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5"/>
      <c r="U771" s="15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5"/>
      <c r="U772" s="15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5"/>
      <c r="U773" s="15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5"/>
      <c r="U774" s="15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5"/>
      <c r="U775" s="15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5"/>
      <c r="U776" s="15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5"/>
      <c r="U777" s="15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5"/>
      <c r="U778" s="15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5"/>
      <c r="U779" s="15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5"/>
      <c r="U780" s="15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5"/>
      <c r="U781" s="15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5"/>
      <c r="U782" s="15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5"/>
      <c r="U783" s="15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5"/>
      <c r="U784" s="15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5"/>
      <c r="U785" s="15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5"/>
      <c r="U786" s="15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5"/>
      <c r="U787" s="15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5"/>
      <c r="U788" s="15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5"/>
      <c r="U789" s="15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5"/>
      <c r="U790" s="15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5"/>
      <c r="U791" s="15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5"/>
      <c r="U792" s="15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5"/>
      <c r="U793" s="15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5"/>
      <c r="U794" s="15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5"/>
      <c r="U795" s="15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5"/>
      <c r="U796" s="15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5"/>
      <c r="U797" s="15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5"/>
      <c r="U798" s="15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5"/>
      <c r="U799" s="15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5"/>
      <c r="U800" s="15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5"/>
      <c r="U801" s="15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5"/>
      <c r="U802" s="15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5"/>
      <c r="U803" s="15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5"/>
      <c r="U804" s="15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5"/>
      <c r="U805" s="15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5"/>
      <c r="U806" s="15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5"/>
      <c r="U807" s="15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5"/>
      <c r="U808" s="15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5"/>
      <c r="U809" s="15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5"/>
      <c r="U810" s="15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5"/>
      <c r="U811" s="15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5"/>
      <c r="U812" s="15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5"/>
      <c r="U813" s="15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5"/>
      <c r="U814" s="15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5"/>
      <c r="U815" s="15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5"/>
      <c r="U816" s="15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5"/>
      <c r="U817" s="15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5"/>
      <c r="U818" s="15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5"/>
      <c r="U819" s="15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5"/>
      <c r="U820" s="15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5"/>
      <c r="U821" s="15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5"/>
      <c r="U822" s="15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5"/>
      <c r="U823" s="15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5"/>
      <c r="U824" s="15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5"/>
      <c r="U825" s="15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5"/>
      <c r="U826" s="15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5"/>
      <c r="U827" s="15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5"/>
      <c r="U828" s="15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5"/>
      <c r="U829" s="15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5"/>
      <c r="U830" s="15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5"/>
      <c r="U831" s="15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5"/>
      <c r="U832" s="15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5"/>
      <c r="U833" s="15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5"/>
      <c r="U834" s="15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5"/>
      <c r="U835" s="15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5"/>
      <c r="U836" s="15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5"/>
      <c r="U837" s="15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5"/>
      <c r="U838" s="15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5"/>
      <c r="U839" s="15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5"/>
      <c r="U840" s="15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5"/>
      <c r="U841" s="15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5"/>
      <c r="U842" s="15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5"/>
      <c r="U843" s="15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5"/>
      <c r="U844" s="15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5"/>
      <c r="U845" s="15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5"/>
      <c r="U846" s="15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5"/>
      <c r="U847" s="15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5"/>
      <c r="U848" s="15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5"/>
      <c r="U849" s="15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5"/>
      <c r="U850" s="15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5"/>
      <c r="U851" s="15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5"/>
      <c r="U852" s="15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5"/>
      <c r="U853" s="15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5"/>
      <c r="U854" s="15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5"/>
      <c r="U855" s="15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5"/>
      <c r="U856" s="15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5"/>
      <c r="U857" s="15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5"/>
      <c r="U858" s="15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5"/>
      <c r="U859" s="15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5"/>
      <c r="U860" s="15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5"/>
      <c r="U861" s="15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5"/>
      <c r="U862" s="15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5"/>
      <c r="U863" s="15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5"/>
      <c r="U864" s="15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5"/>
      <c r="U865" s="15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5"/>
      <c r="U866" s="15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5"/>
      <c r="U867" s="15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5"/>
      <c r="U868" s="15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5"/>
      <c r="U869" s="15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5"/>
      <c r="U870" s="15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5"/>
      <c r="U871" s="15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5"/>
      <c r="U872" s="15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5"/>
      <c r="U873" s="15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5"/>
      <c r="U874" s="15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5"/>
      <c r="U875" s="15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5"/>
      <c r="U876" s="15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5"/>
      <c r="U877" s="15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5"/>
      <c r="U878" s="15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5"/>
      <c r="U879" s="15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5"/>
      <c r="U880" s="15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5"/>
      <c r="U881" s="15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5"/>
      <c r="U882" s="15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5"/>
      <c r="U883" s="15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5"/>
      <c r="U884" s="15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5"/>
      <c r="U885" s="15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5"/>
      <c r="U886" s="15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5"/>
      <c r="U887" s="15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5"/>
      <c r="U888" s="15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5"/>
      <c r="U889" s="15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5"/>
      <c r="U890" s="15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5"/>
      <c r="U891" s="15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5"/>
      <c r="U892" s="15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5"/>
      <c r="U893" s="15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5"/>
      <c r="U894" s="15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5"/>
      <c r="U895" s="15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5"/>
      <c r="U896" s="15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5"/>
      <c r="U897" s="15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5"/>
      <c r="U898" s="15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5"/>
      <c r="U899" s="15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5"/>
      <c r="U900" s="15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5"/>
      <c r="U901" s="15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5"/>
      <c r="U902" s="15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5"/>
      <c r="U903" s="15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5"/>
      <c r="U904" s="15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5"/>
      <c r="U905" s="15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5"/>
      <c r="U906" s="15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5"/>
      <c r="U907" s="15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5"/>
      <c r="U908" s="15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5"/>
      <c r="U909" s="15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5"/>
      <c r="U910" s="15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5"/>
      <c r="U911" s="15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5"/>
      <c r="U912" s="15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5"/>
      <c r="U913" s="15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5"/>
      <c r="U914" s="15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5"/>
      <c r="U915" s="15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5"/>
      <c r="U916" s="15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5"/>
      <c r="U917" s="15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5"/>
      <c r="U918" s="15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5"/>
      <c r="U919" s="15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5"/>
      <c r="U920" s="15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5"/>
      <c r="U921" s="15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5"/>
      <c r="U922" s="15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5"/>
      <c r="U923" s="15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5"/>
      <c r="U924" s="15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5"/>
      <c r="U925" s="15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5"/>
      <c r="U926" s="15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5"/>
      <c r="U927" s="15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5"/>
      <c r="U928" s="15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5"/>
      <c r="U929" s="15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5"/>
      <c r="U930" s="15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5"/>
      <c r="U931" s="15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5"/>
      <c r="U932" s="15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5"/>
      <c r="U933" s="15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5"/>
      <c r="U934" s="15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5"/>
      <c r="U935" s="15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5"/>
      <c r="U936" s="15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5"/>
      <c r="U937" s="15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5"/>
      <c r="U938" s="15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5"/>
      <c r="U939" s="15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5"/>
      <c r="U940" s="15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5"/>
      <c r="U941" s="15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5"/>
      <c r="U942" s="15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5"/>
      <c r="U943" s="15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5"/>
      <c r="U944" s="15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5"/>
      <c r="U945" s="15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5"/>
      <c r="U946" s="15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5"/>
      <c r="U947" s="15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5"/>
      <c r="U948" s="15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5"/>
      <c r="U949" s="15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5"/>
      <c r="U950" s="15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5"/>
      <c r="U951" s="15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5"/>
      <c r="U952" s="15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5"/>
      <c r="U953" s="15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5"/>
      <c r="U954" s="15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5"/>
      <c r="U955" s="15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5"/>
      <c r="U956" s="15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5"/>
      <c r="U957" s="15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5"/>
      <c r="U958" s="15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5"/>
      <c r="U959" s="15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5"/>
      <c r="U960" s="15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5"/>
      <c r="U961" s="15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5"/>
      <c r="U962" s="15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5"/>
      <c r="U963" s="15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5"/>
      <c r="U964" s="15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5"/>
      <c r="U965" s="15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5"/>
      <c r="U966" s="15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5"/>
      <c r="U967" s="15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5"/>
      <c r="U968" s="15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5"/>
      <c r="U969" s="15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5"/>
      <c r="U970" s="15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5"/>
      <c r="U971" s="15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5"/>
      <c r="U972" s="15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5"/>
      <c r="U973" s="15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5"/>
      <c r="U974" s="15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5"/>
      <c r="U975" s="15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5"/>
      <c r="U976" s="15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5"/>
      <c r="U977" s="15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5"/>
      <c r="U978" s="15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5"/>
      <c r="U979" s="15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5"/>
      <c r="U980" s="15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5"/>
      <c r="U981" s="15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5"/>
      <c r="U982" s="15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5"/>
      <c r="U983" s="15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5"/>
      <c r="U984" s="15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5"/>
      <c r="U985" s="15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5"/>
      <c r="U986" s="15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5"/>
      <c r="U987" s="15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5"/>
      <c r="U988" s="15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5"/>
      <c r="U989" s="15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5"/>
      <c r="U990" s="15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5"/>
      <c r="U991" s="15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5"/>
      <c r="U992" s="15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5"/>
      <c r="U993" s="15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5"/>
      <c r="U994" s="15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5"/>
      <c r="U995" s="15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5"/>
      <c r="U996" s="15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5"/>
      <c r="U997" s="15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5"/>
      <c r="U998" s="15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5"/>
      <c r="U999" s="15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9.0"/>
    <col customWidth="1" min="2" max="2" width="8.38"/>
    <col customWidth="1" min="3" max="3" width="11.63"/>
    <col customWidth="1" min="4" max="4" width="9.38"/>
    <col customWidth="1" min="5" max="5" width="8.38"/>
    <col customWidth="1" min="6" max="6" width="11.63"/>
    <col customWidth="1" min="7" max="7" width="8.0"/>
    <col customWidth="1" min="8" max="8" width="10.75"/>
    <col customWidth="1" min="9" max="9" width="35.88"/>
    <col customWidth="1" min="10" max="10" width="10.75"/>
  </cols>
  <sheetData>
    <row r="1">
      <c r="A1" s="24" t="s">
        <v>391</v>
      </c>
      <c r="B1" s="25" t="s">
        <v>131</v>
      </c>
      <c r="C1" s="25" t="s">
        <v>399</v>
      </c>
      <c r="D1" s="24" t="s">
        <v>402</v>
      </c>
      <c r="E1" s="24" t="s">
        <v>403</v>
      </c>
      <c r="F1" s="24" t="s">
        <v>405</v>
      </c>
      <c r="G1" s="24" t="s">
        <v>410</v>
      </c>
      <c r="H1" s="24" t="s">
        <v>412</v>
      </c>
      <c r="I1" s="26" t="s">
        <v>414</v>
      </c>
      <c r="J1" s="25" t="s">
        <v>417</v>
      </c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>
      <c r="A2" s="24" t="s">
        <v>77</v>
      </c>
      <c r="B2" s="28"/>
      <c r="C2" s="28"/>
      <c r="D2" s="27"/>
      <c r="E2" s="27"/>
      <c r="F2" s="27"/>
      <c r="G2" s="27"/>
      <c r="H2" s="27"/>
      <c r="I2" s="29"/>
      <c r="J2" s="28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>
      <c r="A3" s="30" t="s">
        <v>22</v>
      </c>
      <c r="B3" s="31">
        <v>3096.0</v>
      </c>
      <c r="C3" s="31">
        <v>6634.0</v>
      </c>
      <c r="D3" s="32">
        <v>60.3028664082687</v>
      </c>
      <c r="E3" s="32">
        <v>51.331819121447</v>
      </c>
      <c r="F3" s="33">
        <v>422.9689</v>
      </c>
      <c r="G3" s="33">
        <v>6.264</v>
      </c>
      <c r="H3" s="32">
        <v>33.6665023138526</v>
      </c>
      <c r="I3" s="34"/>
      <c r="J3" s="31">
        <v>3096.0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>
      <c r="A4" s="30" t="s">
        <v>29</v>
      </c>
      <c r="B4" s="31">
        <v>10501.0</v>
      </c>
      <c r="C4" s="31">
        <v>285.0</v>
      </c>
      <c r="D4" s="32">
        <v>93.1856760975145</v>
      </c>
      <c r="E4" s="32">
        <v>91.5694072754975</v>
      </c>
      <c r="F4" s="33">
        <v>332.6</v>
      </c>
      <c r="G4" s="33">
        <v>8.6657</v>
      </c>
      <c r="H4" s="32">
        <v>61.1995311576558</v>
      </c>
      <c r="I4" s="34"/>
      <c r="J4" s="31">
        <v>10501.0</v>
      </c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>
      <c r="A5" s="30" t="s">
        <v>34</v>
      </c>
      <c r="B5" s="31">
        <v>216207.0</v>
      </c>
      <c r="C5" s="31">
        <v>897692.0</v>
      </c>
      <c r="D5" s="32">
        <v>8.76926629295073</v>
      </c>
      <c r="E5" s="32">
        <v>0.773689491089557</v>
      </c>
      <c r="F5" s="33">
        <v>175.736</v>
      </c>
      <c r="G5" s="33">
        <v>0.0</v>
      </c>
      <c r="H5" s="32">
        <v>15.6490774047325</v>
      </c>
      <c r="I5" s="34"/>
      <c r="J5" s="31">
        <v>12629.0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>
      <c r="A6" s="30" t="s">
        <v>38</v>
      </c>
      <c r="B6" s="31">
        <v>44608.0</v>
      </c>
      <c r="C6" s="31">
        <v>4979.0</v>
      </c>
      <c r="D6" s="32">
        <v>33.8682713795731</v>
      </c>
      <c r="E6" s="32">
        <v>5.91259489777618</v>
      </c>
      <c r="F6" s="33">
        <v>35312.5</v>
      </c>
      <c r="G6" s="33">
        <v>-0.13</v>
      </c>
      <c r="H6" s="32">
        <v>281.93849534978</v>
      </c>
      <c r="I6" s="34"/>
      <c r="J6" s="31">
        <v>24455.0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>
      <c r="A7" s="30" t="s">
        <v>43</v>
      </c>
      <c r="B7" s="31">
        <v>52261.0</v>
      </c>
      <c r="C7" s="31">
        <v>10685.0</v>
      </c>
      <c r="D7" s="32">
        <v>3.4544905723197</v>
      </c>
      <c r="E7" s="32">
        <v>3.1416838560303</v>
      </c>
      <c r="F7" s="33">
        <v>5.9</v>
      </c>
      <c r="G7" s="33">
        <v>0.24</v>
      </c>
      <c r="H7" s="32">
        <v>1.35121192031704</v>
      </c>
      <c r="I7" s="34"/>
      <c r="J7" s="31">
        <v>33011.0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>
      <c r="A8" s="30" t="s">
        <v>48</v>
      </c>
      <c r="B8" s="31">
        <v>70571.0</v>
      </c>
      <c r="C8" s="31">
        <v>34476.0</v>
      </c>
      <c r="D8" s="32">
        <v>103.323338303269</v>
      </c>
      <c r="E8" s="32">
        <v>21.2895240254495</v>
      </c>
      <c r="F8" s="33">
        <v>109000.0</v>
      </c>
      <c r="G8" s="33">
        <v>0.5</v>
      </c>
      <c r="H8" s="32">
        <v>1095.67025590274</v>
      </c>
      <c r="I8" s="34"/>
      <c r="J8" s="31">
        <v>32111.0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>
      <c r="A9" s="36" t="s">
        <v>54</v>
      </c>
      <c r="B9" s="31">
        <v>62328.0</v>
      </c>
      <c r="C9" s="31">
        <v>74019.0</v>
      </c>
      <c r="D9" s="32">
        <v>1.92948523135669</v>
      </c>
      <c r="E9" s="33">
        <v>0.0</v>
      </c>
      <c r="F9" s="33">
        <v>700.0</v>
      </c>
      <c r="G9" s="33">
        <v>0.0</v>
      </c>
      <c r="H9" s="32">
        <v>7.06856300714268</v>
      </c>
      <c r="I9" s="34"/>
      <c r="J9" s="31">
        <v>17709.0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>
      <c r="A10" s="30" t="s">
        <v>61</v>
      </c>
      <c r="B10" s="31">
        <v>3728.0</v>
      </c>
      <c r="C10" s="31">
        <v>4991.0</v>
      </c>
      <c r="D10" s="33">
        <v>25.8715</v>
      </c>
      <c r="E10" s="33">
        <v>21.0</v>
      </c>
      <c r="F10" s="33">
        <v>1966.0</v>
      </c>
      <c r="G10" s="33">
        <v>5.0</v>
      </c>
      <c r="H10" s="33">
        <v>36.3574</v>
      </c>
      <c r="I10" s="34"/>
      <c r="J10" s="31">
        <v>3728.0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>
      <c r="A11" s="30" t="s">
        <v>74</v>
      </c>
      <c r="B11" s="31">
        <v>19997.0</v>
      </c>
      <c r="C11" s="31">
        <v>475.0</v>
      </c>
      <c r="D11" s="32">
        <v>299.777121663249</v>
      </c>
      <c r="E11" s="32">
        <v>26.283692553883</v>
      </c>
      <c r="F11" s="33">
        <v>37795.8</v>
      </c>
      <c r="G11" s="33">
        <v>1.0</v>
      </c>
      <c r="H11" s="32">
        <v>1009.30181868924</v>
      </c>
      <c r="I11" s="34"/>
      <c r="J11" s="31">
        <v>12475.0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>
      <c r="A12" s="36" t="s">
        <v>85</v>
      </c>
      <c r="B12" s="31">
        <v>26617.0</v>
      </c>
      <c r="C12" s="31">
        <v>18422.0</v>
      </c>
      <c r="D12" s="32">
        <v>0.0316268212044933</v>
      </c>
      <c r="E12" s="32">
        <v>0.0107559078784235</v>
      </c>
      <c r="F12" s="33">
        <v>5.0</v>
      </c>
      <c r="G12" s="33">
        <v>0.0</v>
      </c>
      <c r="H12" s="33">
        <v>0.068618477</v>
      </c>
      <c r="I12" s="34"/>
      <c r="J12" s="31">
        <v>22968.0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>
      <c r="A13" s="30" t="s">
        <v>90</v>
      </c>
      <c r="B13" s="31">
        <v>3580.0</v>
      </c>
      <c r="C13" s="31">
        <v>164.0</v>
      </c>
      <c r="D13" s="33">
        <v>0.1569</v>
      </c>
      <c r="E13" s="33">
        <v>0.14</v>
      </c>
      <c r="F13" s="33">
        <v>2.2</v>
      </c>
      <c r="G13" s="33">
        <v>0.0</v>
      </c>
      <c r="H13" s="33">
        <v>0.0901</v>
      </c>
      <c r="I13" s="34"/>
      <c r="J13" s="31">
        <v>1.0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>
      <c r="A14" s="30" t="s">
        <v>573</v>
      </c>
      <c r="B14" s="31">
        <v>16641.0</v>
      </c>
      <c r="C14" s="31">
        <v>422.0</v>
      </c>
      <c r="D14" s="32">
        <v>0.686152094225106</v>
      </c>
      <c r="E14" s="32">
        <v>0.578468842016705</v>
      </c>
      <c r="F14" s="33">
        <v>9.0</v>
      </c>
      <c r="G14" s="33">
        <v>0.1</v>
      </c>
      <c r="H14" s="32">
        <v>0.425738635607021</v>
      </c>
      <c r="I14" s="34"/>
      <c r="J14" s="31">
        <v>12083.0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>
      <c r="A15" s="30" t="s">
        <v>101</v>
      </c>
      <c r="B15" s="31">
        <v>829359.0</v>
      </c>
      <c r="C15" s="31">
        <v>151596.0</v>
      </c>
      <c r="D15" s="32">
        <v>28.3202586602424</v>
      </c>
      <c r="E15" s="32">
        <v>27.4218793793761</v>
      </c>
      <c r="F15" s="33">
        <v>113.6364</v>
      </c>
      <c r="G15" s="33">
        <v>10.2251</v>
      </c>
      <c r="H15" s="32">
        <v>5.74573720208535</v>
      </c>
      <c r="I15" s="34"/>
      <c r="J15" s="31">
        <v>216044.0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>
      <c r="A16" s="30" t="s">
        <v>107</v>
      </c>
      <c r="B16" s="22"/>
      <c r="C16" s="22"/>
      <c r="D16" s="34"/>
      <c r="E16" s="34"/>
      <c r="F16" s="34"/>
      <c r="G16" s="34"/>
      <c r="H16" s="34"/>
      <c r="I16" s="34"/>
      <c r="J16" s="22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>
      <c r="A17" s="30" t="s">
        <v>111</v>
      </c>
      <c r="B17" s="31">
        <v>1397285.0</v>
      </c>
      <c r="C17" s="31">
        <v>163324.0</v>
      </c>
      <c r="D17" s="32">
        <v>73.4891934157312</v>
      </c>
      <c r="E17" s="32">
        <v>70.7962940090962</v>
      </c>
      <c r="F17" s="33">
        <v>453.1388</v>
      </c>
      <c r="G17" s="33">
        <v>0.0</v>
      </c>
      <c r="H17" s="32">
        <v>17.3099860101763</v>
      </c>
      <c r="I17" s="34"/>
      <c r="J17" s="31">
        <v>220147.0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>
      <c r="A18" s="30" t="s">
        <v>119</v>
      </c>
      <c r="B18" s="31">
        <v>33012.0</v>
      </c>
      <c r="C18" s="31">
        <v>36836.0</v>
      </c>
      <c r="D18" s="32">
        <v>19.2002104113655</v>
      </c>
      <c r="E18" s="32">
        <v>17.3344238458742</v>
      </c>
      <c r="F18" s="33">
        <v>587.0</v>
      </c>
      <c r="G18" s="33">
        <v>3.0</v>
      </c>
      <c r="H18" s="32">
        <v>13.5784659437367</v>
      </c>
      <c r="I18" s="34"/>
      <c r="J18" s="31">
        <v>26455.0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>
      <c r="A19" s="30" t="s">
        <v>124</v>
      </c>
      <c r="B19" s="22"/>
      <c r="C19" s="22"/>
      <c r="D19" s="34"/>
      <c r="E19" s="34"/>
      <c r="F19" s="34"/>
      <c r="G19" s="34"/>
      <c r="H19" s="34"/>
      <c r="I19" s="34"/>
      <c r="J19" s="22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>
      <c r="A20" s="36" t="s">
        <v>128</v>
      </c>
      <c r="B20" s="31">
        <v>80151.0</v>
      </c>
      <c r="C20" s="31">
        <v>32546.0</v>
      </c>
      <c r="D20" s="32">
        <v>1096.95070631183</v>
      </c>
      <c r="E20" s="33">
        <v>2.14211116</v>
      </c>
      <c r="F20" s="33">
        <v>357990.5</v>
      </c>
      <c r="G20" s="33">
        <v>0.0</v>
      </c>
      <c r="H20" s="32">
        <v>8976.93223644796</v>
      </c>
      <c r="I20" s="34"/>
      <c r="J20" s="31">
        <v>46100.0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>
      <c r="A21" s="30" t="s">
        <v>133</v>
      </c>
      <c r="B21" s="31">
        <v>171608.0</v>
      </c>
      <c r="C21" s="31">
        <v>119023.0</v>
      </c>
      <c r="D21" s="32">
        <v>185.823175548342</v>
      </c>
      <c r="E21" s="33">
        <v>3.55976703</v>
      </c>
      <c r="F21" s="33">
        <v>34092.7</v>
      </c>
      <c r="G21" s="33">
        <v>0.0</v>
      </c>
      <c r="H21" s="33">
        <v>603.970043</v>
      </c>
      <c r="I21" s="34"/>
      <c r="J21" s="31">
        <v>15386.0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>
      <c r="A22" s="30" t="s">
        <v>137</v>
      </c>
      <c r="B22" s="31">
        <v>118852.0</v>
      </c>
      <c r="C22" s="31">
        <v>88854.0</v>
      </c>
      <c r="D22" s="32">
        <v>145.673511346043</v>
      </c>
      <c r="E22" s="33">
        <v>0.0</v>
      </c>
      <c r="F22" s="33">
        <v>15822.15</v>
      </c>
      <c r="G22" s="33">
        <v>0.0</v>
      </c>
      <c r="H22" s="32">
        <v>439.436782633284</v>
      </c>
      <c r="I22" s="34"/>
      <c r="J22" s="31">
        <v>11072.0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>
      <c r="A23" s="30" t="s">
        <v>143</v>
      </c>
      <c r="B23" s="31">
        <v>74396.0</v>
      </c>
      <c r="C23" s="31">
        <v>49684.0</v>
      </c>
      <c r="D23" s="32">
        <v>0.835630009677939</v>
      </c>
      <c r="E23" s="32">
        <v>0.798144295392225</v>
      </c>
      <c r="F23" s="33">
        <v>5.41</v>
      </c>
      <c r="G23" s="33">
        <v>0.223</v>
      </c>
      <c r="H23" s="32">
        <v>0.277334117611208</v>
      </c>
      <c r="I23" s="34"/>
      <c r="J23" s="31">
        <v>27183.0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>
      <c r="A24" s="30" t="s">
        <v>149</v>
      </c>
      <c r="B24" s="31">
        <v>14100.0</v>
      </c>
      <c r="C24" s="31">
        <v>6978.0</v>
      </c>
      <c r="D24" s="33">
        <v>59.1161</v>
      </c>
      <c r="E24" s="33">
        <v>50.0</v>
      </c>
      <c r="F24" s="33">
        <v>100.0</v>
      </c>
      <c r="G24" s="33">
        <v>0.0</v>
      </c>
      <c r="H24" s="34"/>
      <c r="I24" s="32" t="s">
        <v>608</v>
      </c>
      <c r="J24" s="31">
        <v>14092.0</v>
      </c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>
      <c r="A25" s="30" t="s">
        <v>152</v>
      </c>
      <c r="B25" s="31">
        <v>14138.0</v>
      </c>
      <c r="C25" s="31">
        <v>6940.0</v>
      </c>
      <c r="D25" s="33">
        <v>65.1083</v>
      </c>
      <c r="E25" s="33">
        <v>60.0</v>
      </c>
      <c r="F25" s="33">
        <v>100.0</v>
      </c>
      <c r="G25" s="33">
        <v>0.0</v>
      </c>
      <c r="H25" s="34"/>
      <c r="I25" s="32" t="s">
        <v>612</v>
      </c>
      <c r="J25" s="31">
        <v>14132.0</v>
      </c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>
      <c r="A26" s="30" t="s">
        <v>158</v>
      </c>
      <c r="B26" s="31">
        <v>2815.0</v>
      </c>
      <c r="C26" s="31">
        <v>5465.0</v>
      </c>
      <c r="D26" s="32">
        <v>150.339958188277</v>
      </c>
      <c r="E26" s="32">
        <v>116.225104085257</v>
      </c>
      <c r="F26" s="33">
        <v>9662.8</v>
      </c>
      <c r="G26" s="33">
        <v>0.25</v>
      </c>
      <c r="H26" s="32">
        <v>349.598886583268</v>
      </c>
      <c r="I26" s="34"/>
      <c r="J26" s="31">
        <v>2815.0</v>
      </c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>
      <c r="A27" s="30" t="s">
        <v>162</v>
      </c>
      <c r="B27" s="31">
        <v>55674.0</v>
      </c>
      <c r="C27" s="31">
        <v>9778.0</v>
      </c>
      <c r="D27" s="32">
        <v>6.35626892265689</v>
      </c>
      <c r="E27" s="32">
        <v>4.93307468477206</v>
      </c>
      <c r="F27" s="33">
        <v>55.0</v>
      </c>
      <c r="G27" s="33">
        <v>0.0</v>
      </c>
      <c r="H27" s="32">
        <v>6.76744132487246</v>
      </c>
      <c r="I27" s="34"/>
      <c r="J27" s="31">
        <v>28610.0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>
      <c r="A28" s="30" t="s">
        <v>165</v>
      </c>
      <c r="B28" s="31">
        <v>19341.0</v>
      </c>
      <c r="C28" s="31">
        <v>518.0</v>
      </c>
      <c r="D28" s="32">
        <v>104.963079546042</v>
      </c>
      <c r="E28" s="32">
        <v>104.996587560105</v>
      </c>
      <c r="F28" s="33">
        <v>151.7</v>
      </c>
      <c r="G28" s="33">
        <v>84.0</v>
      </c>
      <c r="H28" s="32">
        <v>5.19011429787546</v>
      </c>
      <c r="I28" s="34"/>
      <c r="J28" s="31">
        <v>15802.0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>
      <c r="A29" s="30" t="s">
        <v>171</v>
      </c>
      <c r="B29" s="31">
        <v>480607.0</v>
      </c>
      <c r="C29" s="31">
        <v>290419.0</v>
      </c>
      <c r="D29" s="34"/>
      <c r="E29" s="34"/>
      <c r="F29" s="34"/>
      <c r="G29" s="34"/>
      <c r="H29" s="34"/>
      <c r="I29" s="32" t="s">
        <v>621</v>
      </c>
      <c r="J29" s="31">
        <v>210340.0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>
      <c r="A30" s="30" t="s">
        <v>178</v>
      </c>
      <c r="B30" s="31">
        <v>272743.0</v>
      </c>
      <c r="C30" s="31">
        <v>504790.0</v>
      </c>
      <c r="D30" s="32">
        <v>1.3082168062975</v>
      </c>
      <c r="E30" s="32">
        <v>0.973956948482637</v>
      </c>
      <c r="F30" s="33">
        <v>110.0</v>
      </c>
      <c r="G30" s="33">
        <v>0.0</v>
      </c>
      <c r="H30" s="32">
        <v>1.63235657447336</v>
      </c>
      <c r="I30" s="34"/>
      <c r="J30" s="31">
        <v>54338.0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>
      <c r="A31" s="30" t="s">
        <v>182</v>
      </c>
      <c r="B31" s="31">
        <v>75286.0</v>
      </c>
      <c r="C31" s="31">
        <v>7675.0</v>
      </c>
      <c r="D31" s="32">
        <v>183670.02656656</v>
      </c>
      <c r="E31" s="32">
        <v>117.370831230242</v>
      </c>
      <c r="F31" s="33">
        <v>5.43676474E7</v>
      </c>
      <c r="G31" s="33">
        <v>0.0194</v>
      </c>
      <c r="H31" s="32">
        <v>2609954.92052057</v>
      </c>
      <c r="I31" s="34"/>
      <c r="J31" s="31">
        <v>38198.0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>
      <c r="A32" s="30" t="s">
        <v>186</v>
      </c>
      <c r="B32" s="31">
        <v>78277.0</v>
      </c>
      <c r="C32" s="31">
        <v>26132.0</v>
      </c>
      <c r="D32" s="32">
        <v>41.8925265518607</v>
      </c>
      <c r="E32" s="32">
        <v>0.813546257521366</v>
      </c>
      <c r="F32" s="33">
        <v>5941.7</v>
      </c>
      <c r="G32" s="33">
        <v>0.05</v>
      </c>
      <c r="H32" s="32">
        <v>269.642016620092</v>
      </c>
      <c r="I32" s="34"/>
      <c r="J32" s="31">
        <v>43534.0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>
      <c r="A33" s="30" t="s">
        <v>191</v>
      </c>
      <c r="B33" s="31">
        <v>30922.0</v>
      </c>
      <c r="C33" s="31">
        <v>18471.0</v>
      </c>
      <c r="D33" s="32">
        <v>591.782339861587</v>
      </c>
      <c r="E33" s="32">
        <v>25.0404377142487</v>
      </c>
      <c r="F33" s="33">
        <v>112312.7</v>
      </c>
      <c r="G33" s="33">
        <v>-99.0</v>
      </c>
      <c r="H33" s="32">
        <v>2353.80308514712</v>
      </c>
      <c r="I33" s="34"/>
      <c r="J33" s="31">
        <v>25329.0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>
      <c r="A34" s="30" t="s">
        <v>199</v>
      </c>
      <c r="B34" s="31">
        <v>1835579.0</v>
      </c>
      <c r="C34" s="31">
        <v>107096.0</v>
      </c>
      <c r="D34" s="32">
        <v>74.0493154308259</v>
      </c>
      <c r="E34" s="32">
        <v>73.2295229461657</v>
      </c>
      <c r="F34" s="33">
        <v>192.0</v>
      </c>
      <c r="G34" s="33">
        <v>0.0</v>
      </c>
      <c r="H34" s="32">
        <v>13.9046654998049</v>
      </c>
      <c r="I34" s="34"/>
      <c r="J34" s="31">
        <v>325116.0</v>
      </c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>
      <c r="A35" s="30" t="s">
        <v>203</v>
      </c>
      <c r="B35" s="31">
        <v>5317.0</v>
      </c>
      <c r="C35" s="31">
        <v>11509.0</v>
      </c>
      <c r="D35" s="33">
        <v>48.3290869</v>
      </c>
      <c r="E35" s="33">
        <v>44.6521685</v>
      </c>
      <c r="F35" s="33">
        <v>499.0</v>
      </c>
      <c r="G35" s="33">
        <v>2.0</v>
      </c>
      <c r="H35" s="32">
        <v>25.6955197094819</v>
      </c>
      <c r="I35" s="34"/>
      <c r="J35" s="31">
        <v>4877.0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>
      <c r="A36" s="30" t="s">
        <v>214</v>
      </c>
      <c r="B36" s="31">
        <v>220356.0</v>
      </c>
      <c r="C36" s="31">
        <v>58382.0</v>
      </c>
      <c r="D36" s="32">
        <v>82.2826407758354</v>
      </c>
      <c r="E36" s="32">
        <v>83.8362996069995</v>
      </c>
      <c r="F36" s="33">
        <v>536.3985</v>
      </c>
      <c r="G36" s="33">
        <v>2.3199</v>
      </c>
      <c r="H36" s="32">
        <v>23.0895100031074</v>
      </c>
      <c r="I36" s="34"/>
      <c r="J36" s="31">
        <v>38260.0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>
      <c r="A37" s="30" t="s">
        <v>218</v>
      </c>
      <c r="B37" s="31">
        <v>29197.0</v>
      </c>
      <c r="C37" s="31">
        <v>18378.0</v>
      </c>
      <c r="D37" s="32">
        <v>0.197430725759495</v>
      </c>
      <c r="E37" s="32">
        <v>0.131495016611295</v>
      </c>
      <c r="F37" s="33">
        <v>230.0</v>
      </c>
      <c r="G37" s="33">
        <v>0.0</v>
      </c>
      <c r="H37" s="32">
        <v>1.35916153542703</v>
      </c>
      <c r="I37" s="34"/>
      <c r="J37" s="31">
        <v>25515.0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>
      <c r="A38" s="30" t="s">
        <v>229</v>
      </c>
      <c r="B38" s="31">
        <v>73127.0</v>
      </c>
      <c r="C38" s="31">
        <v>15776.0</v>
      </c>
      <c r="D38" s="32">
        <v>143.552698296114</v>
      </c>
      <c r="E38" s="32">
        <v>119.09187714524</v>
      </c>
      <c r="F38" s="33">
        <v>3699.9</v>
      </c>
      <c r="G38" s="33">
        <v>5.0</v>
      </c>
      <c r="H38" s="32">
        <v>118.731429249878</v>
      </c>
      <c r="I38" s="34"/>
      <c r="J38" s="31">
        <v>30681.0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>
      <c r="A39" s="30" t="s">
        <v>234</v>
      </c>
      <c r="B39" s="31">
        <v>26281.0</v>
      </c>
      <c r="C39" s="31">
        <v>16490.0</v>
      </c>
      <c r="D39" s="32">
        <v>267.659007161066</v>
      </c>
      <c r="E39" s="32">
        <v>64.5189528556752</v>
      </c>
      <c r="F39" s="33">
        <v>21967.4</v>
      </c>
      <c r="G39" s="33">
        <v>0.01</v>
      </c>
      <c r="H39" s="32">
        <v>1158.8973472927</v>
      </c>
      <c r="I39" s="34"/>
      <c r="J39" s="31">
        <v>14735.0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>
      <c r="A40" s="30" t="s">
        <v>246</v>
      </c>
      <c r="B40" s="31">
        <v>135627.0</v>
      </c>
      <c r="C40" s="31">
        <v>36458.0</v>
      </c>
      <c r="D40" s="32">
        <v>103.331460454039</v>
      </c>
      <c r="E40" s="33">
        <v>95.9908941</v>
      </c>
      <c r="F40" s="33">
        <v>714.0</v>
      </c>
      <c r="G40" s="33">
        <v>11.9902</v>
      </c>
      <c r="H40" s="32">
        <v>30.9341773541438</v>
      </c>
      <c r="I40" s="34"/>
      <c r="J40" s="31">
        <v>51080.0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>
      <c r="A41" s="30" t="s">
        <v>615</v>
      </c>
      <c r="B41" s="22"/>
      <c r="C41" s="22"/>
      <c r="D41" s="34"/>
      <c r="E41" s="34"/>
      <c r="F41" s="34"/>
      <c r="G41" s="34"/>
      <c r="H41" s="34"/>
      <c r="I41" s="34"/>
      <c r="J41" s="22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>
      <c r="A42" s="30" t="s">
        <v>251</v>
      </c>
      <c r="B42" s="31">
        <v>18336.0</v>
      </c>
      <c r="C42" s="31">
        <v>1021.0</v>
      </c>
      <c r="D42" s="32">
        <v>1369.56202344022</v>
      </c>
      <c r="E42" s="32">
        <v>154.335340314136</v>
      </c>
      <c r="F42" s="33">
        <v>159186.5</v>
      </c>
      <c r="G42" s="33">
        <v>7.0</v>
      </c>
      <c r="H42" s="32">
        <v>6542.72547008851</v>
      </c>
      <c r="I42" s="34"/>
      <c r="J42" s="31">
        <v>17279.0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>
      <c r="A43" s="30" t="s">
        <v>255</v>
      </c>
      <c r="B43" s="31">
        <v>218439.0</v>
      </c>
      <c r="C43" s="31">
        <v>41538.0</v>
      </c>
      <c r="D43" s="32">
        <v>2.91879352176122</v>
      </c>
      <c r="E43" s="32">
        <v>2.84793139411918</v>
      </c>
      <c r="F43" s="33">
        <v>9.51</v>
      </c>
      <c r="G43" s="33">
        <v>-1.0</v>
      </c>
      <c r="H43" s="33">
        <v>1.23749786</v>
      </c>
      <c r="I43" s="34"/>
      <c r="J43" s="31">
        <v>95740.0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>
      <c r="A44" s="30" t="s">
        <v>259</v>
      </c>
      <c r="B44" s="31">
        <v>115025.0</v>
      </c>
      <c r="C44" s="31">
        <v>14066.0</v>
      </c>
      <c r="D44" s="32">
        <v>36.9171711184525</v>
      </c>
      <c r="E44" s="32">
        <v>37.6217446389915</v>
      </c>
      <c r="F44" s="33">
        <v>118.9677</v>
      </c>
      <c r="G44" s="33">
        <v>-39.65</v>
      </c>
      <c r="H44" s="32">
        <v>38.3438003567189</v>
      </c>
      <c r="I44" s="34"/>
      <c r="J44" s="31">
        <v>73835.0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>
      <c r="A45" s="30" t="s">
        <v>263</v>
      </c>
      <c r="B45" s="31">
        <v>81674.0</v>
      </c>
      <c r="C45" s="31">
        <v>20227.0</v>
      </c>
      <c r="D45" s="32">
        <v>3577.37652112912</v>
      </c>
      <c r="E45" s="32">
        <v>307.806058231505</v>
      </c>
      <c r="F45" s="33">
        <v>401622.7</v>
      </c>
      <c r="G45" s="33">
        <v>2.0</v>
      </c>
      <c r="H45" s="32">
        <v>21668.0707600848</v>
      </c>
      <c r="I45" s="34"/>
      <c r="J45" s="31">
        <v>44605.0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>
      <c r="A46" s="36" t="s">
        <v>269</v>
      </c>
      <c r="B46" s="31">
        <v>1228572.0</v>
      </c>
      <c r="C46" s="31">
        <v>8908.0</v>
      </c>
      <c r="D46" s="32">
        <v>18.654395689123</v>
      </c>
      <c r="E46" s="32">
        <v>16.5198786734572</v>
      </c>
      <c r="F46" s="33">
        <v>546.0</v>
      </c>
      <c r="G46" s="33">
        <v>0.0</v>
      </c>
      <c r="H46" s="34"/>
      <c r="I46" s="32" t="s">
        <v>663</v>
      </c>
      <c r="J46" s="31">
        <v>180346.0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>
      <c r="A47" s="30" t="s">
        <v>272</v>
      </c>
      <c r="B47" s="31">
        <v>213069.0</v>
      </c>
      <c r="C47" s="31">
        <v>43351.0</v>
      </c>
      <c r="D47" s="32">
        <v>3.78253686739976</v>
      </c>
      <c r="E47" s="32">
        <v>3.29230633738366</v>
      </c>
      <c r="F47" s="33">
        <v>60.9</v>
      </c>
      <c r="G47" s="33">
        <v>-1.0</v>
      </c>
      <c r="H47" s="32">
        <v>3.46398635237608</v>
      </c>
      <c r="I47" s="34"/>
      <c r="J47" s="31">
        <v>96798.0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>
      <c r="A48" s="30" t="s">
        <v>275</v>
      </c>
      <c r="B48" s="31">
        <v>10923.0</v>
      </c>
      <c r="C48" s="31">
        <v>1935.0</v>
      </c>
      <c r="D48" s="33">
        <v>77.006</v>
      </c>
      <c r="E48" s="33">
        <v>76.2752</v>
      </c>
      <c r="F48" s="33">
        <v>207.4638</v>
      </c>
      <c r="G48" s="33">
        <v>5.6796</v>
      </c>
      <c r="H48" s="33">
        <v>17.6224</v>
      </c>
      <c r="I48" s="34"/>
      <c r="J48" s="31">
        <v>5733.0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>
      <c r="A49" s="30" t="s">
        <v>279</v>
      </c>
      <c r="B49" s="31">
        <v>360324.0</v>
      </c>
      <c r="C49" s="31">
        <v>172953.0</v>
      </c>
      <c r="D49" s="32">
        <v>99.7693169006227</v>
      </c>
      <c r="E49" s="32">
        <v>93.9106554767376</v>
      </c>
      <c r="F49" s="33">
        <v>999.0</v>
      </c>
      <c r="G49" s="33">
        <v>0.002</v>
      </c>
      <c r="H49" s="32">
        <v>38.445075084544</v>
      </c>
      <c r="I49" s="34"/>
      <c r="J49" s="31">
        <v>48259.0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>
      <c r="A50" s="30" t="s">
        <v>286</v>
      </c>
      <c r="B50" s="31">
        <v>265603.0</v>
      </c>
      <c r="C50" s="31">
        <v>36463.0</v>
      </c>
      <c r="D50" s="32">
        <v>51.8826357544907</v>
      </c>
      <c r="E50" s="32">
        <v>49.2351065311762</v>
      </c>
      <c r="F50" s="33">
        <v>204.0</v>
      </c>
      <c r="G50" s="33">
        <v>5.0</v>
      </c>
      <c r="H50" s="32">
        <v>16.2258715807733</v>
      </c>
      <c r="I50" s="34"/>
      <c r="J50" s="31">
        <v>51208.0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>
      <c r="A51" s="30" t="s">
        <v>290</v>
      </c>
      <c r="B51" s="31">
        <v>1103023.0</v>
      </c>
      <c r="C51" s="31">
        <v>364544.0</v>
      </c>
      <c r="D51" s="32">
        <v>71.4335813652117</v>
      </c>
      <c r="E51" s="32">
        <v>68.176847137367</v>
      </c>
      <c r="F51" s="33">
        <v>999.0</v>
      </c>
      <c r="G51" s="33">
        <v>0.0</v>
      </c>
      <c r="H51" s="32">
        <v>22.5470323579684</v>
      </c>
      <c r="I51" s="34"/>
      <c r="J51" s="31">
        <v>131745.0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>
      <c r="A52" s="30" t="s">
        <v>295</v>
      </c>
      <c r="B52" s="31">
        <v>1014024.0</v>
      </c>
      <c r="C52" s="31">
        <v>184430.0</v>
      </c>
      <c r="D52" s="32">
        <v>442.799801693253</v>
      </c>
      <c r="E52" s="32">
        <v>163.626039774009</v>
      </c>
      <c r="F52" s="33">
        <v>19558.0</v>
      </c>
      <c r="G52" s="33">
        <v>57.0</v>
      </c>
      <c r="H52" s="32">
        <v>2105.14735741515</v>
      </c>
      <c r="I52" s="34"/>
      <c r="J52" s="31">
        <v>220017.0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>
      <c r="A53" s="30" t="s">
        <v>301</v>
      </c>
      <c r="B53" s="31">
        <v>374488.0</v>
      </c>
      <c r="C53" s="31">
        <v>69187.0</v>
      </c>
      <c r="D53" s="32">
        <v>40.4993220447651</v>
      </c>
      <c r="E53" s="32">
        <v>40.7749676892183</v>
      </c>
      <c r="F53" s="33">
        <v>99.5</v>
      </c>
      <c r="G53" s="33">
        <v>0.0</v>
      </c>
      <c r="H53" s="32">
        <v>4.54022066273804</v>
      </c>
      <c r="I53" s="34"/>
      <c r="J53" s="31">
        <v>203996.0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>
      <c r="A54" s="30" t="s">
        <v>307</v>
      </c>
      <c r="B54" s="31">
        <v>349944.0</v>
      </c>
      <c r="C54" s="31">
        <v>66478.0</v>
      </c>
      <c r="D54" s="32">
        <v>13.3868524103856</v>
      </c>
      <c r="E54" s="32">
        <v>13.4539826372219</v>
      </c>
      <c r="F54" s="33">
        <v>44.9</v>
      </c>
      <c r="G54" s="33">
        <v>0.0</v>
      </c>
      <c r="H54" s="32">
        <v>1.48525605742954</v>
      </c>
      <c r="I54" s="34"/>
      <c r="J54" s="31">
        <v>194760.0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>
      <c r="A55" s="30" t="s">
        <v>311</v>
      </c>
      <c r="B55" s="31">
        <v>55898.0</v>
      </c>
      <c r="C55" s="31">
        <v>4276.0</v>
      </c>
      <c r="D55" s="32">
        <v>5.93338920712726</v>
      </c>
      <c r="E55" s="32">
        <v>5.68399406061039</v>
      </c>
      <c r="F55" s="33">
        <v>19.1</v>
      </c>
      <c r="G55" s="33">
        <v>3.2</v>
      </c>
      <c r="H55" s="32">
        <v>1.11548705863267</v>
      </c>
      <c r="I55" s="34"/>
      <c r="J55" s="31">
        <v>31738.0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>
      <c r="A56" s="30" t="s">
        <v>314</v>
      </c>
      <c r="B56" s="31">
        <v>575054.0</v>
      </c>
      <c r="C56" s="31">
        <v>283179.0</v>
      </c>
      <c r="D56" s="32">
        <v>106.189979608002</v>
      </c>
      <c r="E56" s="32">
        <v>104.422294567118</v>
      </c>
      <c r="F56" s="33">
        <v>306.0</v>
      </c>
      <c r="G56" s="33">
        <v>0.0</v>
      </c>
      <c r="H56" s="32">
        <v>11.8201790815167</v>
      </c>
      <c r="I56" s="34"/>
      <c r="J56" s="31">
        <v>199121.0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>
      <c r="A57" s="30" t="s">
        <v>331</v>
      </c>
      <c r="B57" s="31">
        <v>9846.0</v>
      </c>
      <c r="C57" s="31">
        <v>14267.0</v>
      </c>
      <c r="D57" s="32">
        <v>744.599002620353</v>
      </c>
      <c r="E57" s="32">
        <v>732.246966890107</v>
      </c>
      <c r="F57" s="33">
        <v>9065.8</v>
      </c>
      <c r="G57" s="33">
        <v>3.0</v>
      </c>
      <c r="H57" s="32">
        <v>1176.01422519262</v>
      </c>
      <c r="I57" s="34"/>
      <c r="J57" s="31">
        <v>9409.0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>
      <c r="A58" s="30" t="s">
        <v>334</v>
      </c>
      <c r="B58" s="31">
        <v>95198.0</v>
      </c>
      <c r="C58" s="31">
        <v>50832.0</v>
      </c>
      <c r="D58" s="32">
        <v>98.453344071304</v>
      </c>
      <c r="E58" s="32">
        <v>65.7477432298997</v>
      </c>
      <c r="F58" s="33">
        <v>6737.325</v>
      </c>
      <c r="G58" s="33">
        <v>0.0</v>
      </c>
      <c r="H58" s="32">
        <v>166.376701824258</v>
      </c>
      <c r="I58" s="34"/>
      <c r="J58" s="31">
        <v>49002.0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>
      <c r="A59" s="30" t="s">
        <v>338</v>
      </c>
      <c r="B59" s="31">
        <v>1851.0</v>
      </c>
      <c r="C59" s="31">
        <v>0.0</v>
      </c>
      <c r="D59" s="33">
        <v>2185.2902</v>
      </c>
      <c r="E59" s="33">
        <v>1782.7</v>
      </c>
      <c r="F59" s="33">
        <v>29778.1</v>
      </c>
      <c r="G59" s="33">
        <v>496.6</v>
      </c>
      <c r="H59" s="33">
        <v>1929.0665</v>
      </c>
      <c r="I59" s="34"/>
      <c r="J59" s="31">
        <v>1851.0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>
      <c r="A60" s="30" t="s">
        <v>342</v>
      </c>
      <c r="B60" s="31">
        <v>2794.0</v>
      </c>
      <c r="C60" s="31">
        <v>2754.0</v>
      </c>
      <c r="D60" s="32">
        <v>100.456278632784</v>
      </c>
      <c r="E60" s="33">
        <v>83.6659413</v>
      </c>
      <c r="F60" s="33">
        <v>4692.1</v>
      </c>
      <c r="G60" s="33">
        <v>-555.0</v>
      </c>
      <c r="H60" s="32">
        <v>171.674014066872</v>
      </c>
      <c r="I60" s="34"/>
      <c r="J60" s="31">
        <v>2794.0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>
      <c r="A61" s="30" t="s">
        <v>620</v>
      </c>
      <c r="B61" s="31">
        <v>17501.0</v>
      </c>
      <c r="C61" s="31">
        <v>800.0</v>
      </c>
      <c r="D61" s="32">
        <v>28.3469650648534</v>
      </c>
      <c r="E61" s="32">
        <v>21.6147055082566</v>
      </c>
      <c r="F61" s="33">
        <v>14830.2</v>
      </c>
      <c r="G61" s="33">
        <v>0.1292</v>
      </c>
      <c r="H61" s="32">
        <v>162.889364631428</v>
      </c>
      <c r="I61" s="34"/>
      <c r="J61" s="31">
        <v>13900.0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</row>
    <row r="62">
      <c r="A62" s="30" t="s">
        <v>349</v>
      </c>
      <c r="B62" s="31">
        <v>2870.0</v>
      </c>
      <c r="C62" s="31">
        <v>203.0</v>
      </c>
      <c r="D62" s="33">
        <v>506.8855</v>
      </c>
      <c r="E62" s="33">
        <v>606.3</v>
      </c>
      <c r="F62" s="33">
        <v>2030.3</v>
      </c>
      <c r="G62" s="33">
        <v>79.9</v>
      </c>
      <c r="H62" s="33">
        <v>264.0251</v>
      </c>
      <c r="I62" s="34"/>
      <c r="J62" s="31">
        <v>1852.0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>
      <c r="A63" s="30" t="s">
        <v>352</v>
      </c>
      <c r="B63" s="31">
        <v>2890.0</v>
      </c>
      <c r="C63" s="31">
        <v>90.0</v>
      </c>
      <c r="D63" s="33">
        <v>0.9362</v>
      </c>
      <c r="E63" s="33">
        <v>0.9086</v>
      </c>
      <c r="F63" s="33">
        <v>5.1624</v>
      </c>
      <c r="G63" s="33">
        <v>3.0E-4</v>
      </c>
      <c r="H63" s="33">
        <v>0.4072</v>
      </c>
      <c r="I63" s="34"/>
      <c r="J63" s="31">
        <v>2890.0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>
      <c r="A64" s="30" t="s">
        <v>355</v>
      </c>
      <c r="B64" s="31">
        <v>269331.0</v>
      </c>
      <c r="C64" s="31">
        <v>80274.0</v>
      </c>
      <c r="D64" s="32">
        <v>115.820951848468</v>
      </c>
      <c r="E64" s="32">
        <v>114.074696191674</v>
      </c>
      <c r="F64" s="33">
        <v>504.6</v>
      </c>
      <c r="G64" s="33">
        <v>0.0</v>
      </c>
      <c r="H64" s="32">
        <v>41.6191696992888</v>
      </c>
      <c r="I64" s="34"/>
      <c r="J64" s="31">
        <v>62850.0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>
      <c r="A65" s="30" t="s">
        <v>362</v>
      </c>
      <c r="B65" s="31">
        <v>2338.0</v>
      </c>
      <c r="C65" s="31">
        <v>462.0</v>
      </c>
      <c r="D65" s="32">
        <v>1.78159999999999</v>
      </c>
      <c r="E65" s="33">
        <v>1.7</v>
      </c>
      <c r="F65" s="33">
        <v>37.6</v>
      </c>
      <c r="G65" s="33">
        <v>0.2</v>
      </c>
      <c r="H65" s="33">
        <v>1.1556</v>
      </c>
      <c r="I65" s="34"/>
      <c r="J65" s="31">
        <v>2338.0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>
      <c r="A66" s="30" t="s">
        <v>365</v>
      </c>
      <c r="B66" s="31">
        <v>38905.0</v>
      </c>
      <c r="C66" s="31">
        <v>15009.0</v>
      </c>
      <c r="D66" s="33">
        <v>32.6418807</v>
      </c>
      <c r="E66" s="32">
        <v>31.9230278884462</v>
      </c>
      <c r="F66" s="33">
        <v>92.0</v>
      </c>
      <c r="G66" s="33">
        <v>1.0</v>
      </c>
      <c r="H66" s="32">
        <v>9.49548788457977</v>
      </c>
      <c r="I66" s="34"/>
      <c r="J66" s="31">
        <v>27431.0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>
      <c r="A67" s="30" t="s">
        <v>368</v>
      </c>
      <c r="B67" s="31">
        <v>10434.0</v>
      </c>
      <c r="C67" s="31">
        <v>352.0</v>
      </c>
      <c r="D67" s="32">
        <v>264.339940329691</v>
      </c>
      <c r="E67" s="32">
        <v>254.151443358251</v>
      </c>
      <c r="F67" s="33">
        <v>1427.9</v>
      </c>
      <c r="G67" s="33">
        <v>51.4</v>
      </c>
      <c r="H67" s="32">
        <v>123.217191338935</v>
      </c>
      <c r="I67" s="34"/>
      <c r="J67" s="31">
        <v>10434.0</v>
      </c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>
      <c r="A68" s="30" t="s">
        <v>372</v>
      </c>
      <c r="B68" s="31">
        <v>1851.0</v>
      </c>
      <c r="C68" s="31">
        <v>0.0</v>
      </c>
      <c r="D68" s="33">
        <v>848.4288</v>
      </c>
      <c r="E68" s="33">
        <v>773.0</v>
      </c>
      <c r="F68" s="33">
        <v>19849.4</v>
      </c>
      <c r="G68" s="33">
        <v>297.0</v>
      </c>
      <c r="H68" s="33">
        <v>677.4441</v>
      </c>
      <c r="I68" s="34"/>
      <c r="J68" s="31">
        <v>1851.0</v>
      </c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>
      <c r="A69" s="30" t="s">
        <v>377</v>
      </c>
      <c r="B69" s="31">
        <v>23341.0</v>
      </c>
      <c r="C69" s="31">
        <v>10707.0</v>
      </c>
      <c r="D69" s="32">
        <v>94.1611574782571</v>
      </c>
      <c r="E69" s="32">
        <v>93.4517458549333</v>
      </c>
      <c r="F69" s="33">
        <v>173.0</v>
      </c>
      <c r="G69" s="33">
        <v>3.0</v>
      </c>
      <c r="H69" s="32">
        <v>13.3918825910833</v>
      </c>
      <c r="I69" s="34"/>
      <c r="J69" s="31">
        <v>10815.0</v>
      </c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>
      <c r="A70" s="36" t="s">
        <v>380</v>
      </c>
      <c r="B70" s="31">
        <v>46743.0</v>
      </c>
      <c r="C70" s="31">
        <v>16035.0</v>
      </c>
      <c r="D70" s="32">
        <v>27.8631848319534</v>
      </c>
      <c r="E70" s="32">
        <v>28.0282151723252</v>
      </c>
      <c r="F70" s="33">
        <v>584.5</v>
      </c>
      <c r="G70" s="33">
        <v>1.99</v>
      </c>
      <c r="H70" s="32">
        <v>8.06706034483252</v>
      </c>
      <c r="I70" s="34"/>
      <c r="J70" s="31">
        <v>36769.0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</row>
    <row r="71">
      <c r="A71" s="36" t="s">
        <v>384</v>
      </c>
      <c r="B71" s="31">
        <v>42292.0</v>
      </c>
      <c r="C71" s="31">
        <v>20474.0</v>
      </c>
      <c r="D71" s="32">
        <v>30.6484634871843</v>
      </c>
      <c r="E71" s="32">
        <v>28.6771313723635</v>
      </c>
      <c r="F71" s="33">
        <v>663.1</v>
      </c>
      <c r="G71" s="33">
        <v>2.74</v>
      </c>
      <c r="H71" s="33">
        <v>8.94913758</v>
      </c>
      <c r="I71" s="34"/>
      <c r="J71" s="31">
        <v>34254.0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>
      <c r="A72" s="36" t="s">
        <v>390</v>
      </c>
      <c r="B72" s="31">
        <v>62133.0</v>
      </c>
      <c r="C72" s="31">
        <v>17530.0</v>
      </c>
      <c r="D72" s="32">
        <v>90.0930948594144</v>
      </c>
      <c r="E72" s="32">
        <v>90.0518371879677</v>
      </c>
      <c r="F72" s="33">
        <v>140.0</v>
      </c>
      <c r="G72" s="33">
        <v>53.0</v>
      </c>
      <c r="H72" s="32">
        <v>5.53171080193321</v>
      </c>
      <c r="I72" s="34"/>
      <c r="J72" s="31">
        <v>40775.0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</row>
    <row r="73">
      <c r="A73" s="36" t="s">
        <v>395</v>
      </c>
      <c r="B73" s="31">
        <v>11882.0</v>
      </c>
      <c r="C73" s="31">
        <v>4696.0</v>
      </c>
      <c r="D73" s="32">
        <v>8.642740809628</v>
      </c>
      <c r="E73" s="32">
        <v>8.55080794479043</v>
      </c>
      <c r="F73" s="33">
        <v>14.2</v>
      </c>
      <c r="G73" s="33">
        <v>5.6</v>
      </c>
      <c r="H73" s="32">
        <v>0.958165995924645</v>
      </c>
      <c r="I73" s="34"/>
      <c r="J73" s="31">
        <v>11882.0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>
      <c r="A74" s="30" t="s">
        <v>398</v>
      </c>
      <c r="B74" s="31">
        <v>4666.0</v>
      </c>
      <c r="C74" s="31">
        <v>5465.0</v>
      </c>
      <c r="D74" s="32">
        <v>3258.72569057008</v>
      </c>
      <c r="E74" s="32">
        <v>2944.76800257179</v>
      </c>
      <c r="F74" s="33">
        <v>182956.3</v>
      </c>
      <c r="G74" s="33">
        <v>34.2</v>
      </c>
      <c r="H74" s="32">
        <v>4767.10628277198</v>
      </c>
      <c r="I74" s="34"/>
      <c r="J74" s="31">
        <v>2815.0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</row>
    <row r="75">
      <c r="A75" s="36" t="s">
        <v>404</v>
      </c>
      <c r="B75" s="31">
        <v>34947.0</v>
      </c>
      <c r="C75" s="31">
        <v>18464.0</v>
      </c>
      <c r="D75" s="32">
        <v>0.564240135061664</v>
      </c>
      <c r="E75" s="32">
        <v>0.51529229976822</v>
      </c>
      <c r="F75" s="33">
        <v>42.0</v>
      </c>
      <c r="G75" s="33">
        <v>0.0</v>
      </c>
      <c r="H75" s="32">
        <v>0.46198475909985</v>
      </c>
      <c r="I75" s="34"/>
      <c r="J75" s="31">
        <v>31256.0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</row>
    <row r="76">
      <c r="A76" s="30" t="s">
        <v>413</v>
      </c>
      <c r="B76" s="31">
        <v>1851.0</v>
      </c>
      <c r="C76" s="31">
        <v>0.0</v>
      </c>
      <c r="D76" s="33">
        <v>13808.5709</v>
      </c>
      <c r="E76" s="33">
        <v>13247.1</v>
      </c>
      <c r="F76" s="33">
        <v>39632.9</v>
      </c>
      <c r="G76" s="33">
        <v>3748.2</v>
      </c>
      <c r="H76" s="33">
        <v>4624.4535</v>
      </c>
      <c r="I76" s="34"/>
      <c r="J76" s="31">
        <v>1851.0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>
      <c r="A77" s="30" t="s">
        <v>418</v>
      </c>
      <c r="B77" s="31">
        <v>22962.0</v>
      </c>
      <c r="C77" s="31">
        <v>13691.0</v>
      </c>
      <c r="D77" s="32">
        <v>3.91340722062538</v>
      </c>
      <c r="E77" s="32">
        <v>3.70184043201811</v>
      </c>
      <c r="F77" s="33">
        <v>26.7</v>
      </c>
      <c r="G77" s="33">
        <v>0.0</v>
      </c>
      <c r="H77" s="32">
        <v>1.64613872334341</v>
      </c>
      <c r="I77" s="34"/>
      <c r="J77" s="31">
        <v>19765.0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>
      <c r="A78" s="30" t="s">
        <v>421</v>
      </c>
      <c r="B78" s="31">
        <v>32109.0</v>
      </c>
      <c r="C78" s="31">
        <v>12008.0</v>
      </c>
      <c r="D78" s="32">
        <v>56.5097236164315</v>
      </c>
      <c r="E78" s="32">
        <v>57.5902394967143</v>
      </c>
      <c r="F78" s="33">
        <v>92.0</v>
      </c>
      <c r="G78" s="33">
        <v>0.0</v>
      </c>
      <c r="H78" s="32">
        <v>11.147137572854</v>
      </c>
      <c r="I78" s="34"/>
      <c r="J78" s="31">
        <v>25012.0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>
      <c r="A79" s="30" t="s">
        <v>425</v>
      </c>
      <c r="B79" s="31">
        <v>90130.0</v>
      </c>
      <c r="C79" s="31">
        <v>608132.0</v>
      </c>
      <c r="D79" s="32">
        <v>1160.31458470653</v>
      </c>
      <c r="E79" s="32">
        <v>183.444802063685</v>
      </c>
      <c r="F79" s="33">
        <v>453000.0</v>
      </c>
      <c r="G79" s="33">
        <v>0.0</v>
      </c>
      <c r="H79" s="32">
        <v>5759.15302999686</v>
      </c>
      <c r="I79" s="34"/>
      <c r="J79" s="31">
        <v>30317.0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</row>
    <row r="80">
      <c r="A80" s="30" t="s">
        <v>433</v>
      </c>
      <c r="B80" s="31">
        <v>1851.0</v>
      </c>
      <c r="C80" s="31">
        <v>0.0</v>
      </c>
      <c r="D80" s="33">
        <v>6614.0708</v>
      </c>
      <c r="E80" s="33">
        <v>6591.7</v>
      </c>
      <c r="F80" s="33">
        <v>16618.4</v>
      </c>
      <c r="G80" s="33">
        <v>605.1</v>
      </c>
      <c r="H80" s="33">
        <v>2114.3139</v>
      </c>
      <c r="I80" s="34"/>
      <c r="J80" s="31">
        <v>1851.0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>
      <c r="A81" s="30" t="s">
        <v>436</v>
      </c>
      <c r="B81" s="31">
        <v>5482.0</v>
      </c>
      <c r="C81" s="31">
        <v>134.0</v>
      </c>
      <c r="D81" s="33">
        <v>33.7734</v>
      </c>
      <c r="E81" s="33">
        <v>32.4105</v>
      </c>
      <c r="F81" s="33">
        <v>100.96</v>
      </c>
      <c r="G81" s="33">
        <v>5.047</v>
      </c>
      <c r="H81" s="33">
        <v>11.2463</v>
      </c>
      <c r="I81" s="34"/>
      <c r="J81" s="31">
        <v>2741.0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>
      <c r="A82" s="30" t="s">
        <v>442</v>
      </c>
      <c r="B82" s="31">
        <v>297042.0</v>
      </c>
      <c r="C82" s="31">
        <v>34511.0</v>
      </c>
      <c r="D82" s="32">
        <v>497.080849602749</v>
      </c>
      <c r="E82" s="32">
        <v>245.511695315813</v>
      </c>
      <c r="F82" s="33">
        <v>83000.0</v>
      </c>
      <c r="G82" s="33">
        <v>0.0</v>
      </c>
      <c r="H82" s="32">
        <v>2685.44753299548</v>
      </c>
      <c r="I82" s="34"/>
      <c r="J82" s="31">
        <v>197114.0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>
      <c r="A83" s="30" t="s">
        <v>448</v>
      </c>
      <c r="B83" s="31">
        <v>62941.0</v>
      </c>
      <c r="C83" s="31">
        <v>13415.0</v>
      </c>
      <c r="D83" s="32">
        <v>4.24679648400883</v>
      </c>
      <c r="E83" s="32">
        <v>4.21718911361433</v>
      </c>
      <c r="F83" s="33">
        <v>13.7</v>
      </c>
      <c r="G83" s="33">
        <v>-9.0</v>
      </c>
      <c r="H83" s="32">
        <v>0.433673818991908</v>
      </c>
      <c r="I83" s="34"/>
      <c r="J83" s="31">
        <v>30523.0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>
      <c r="A84" s="30" t="s">
        <v>451</v>
      </c>
      <c r="B84" s="31">
        <v>313604.0</v>
      </c>
      <c r="C84" s="31">
        <v>1402.0</v>
      </c>
      <c r="D84" s="32">
        <v>163.589932910294</v>
      </c>
      <c r="E84" s="32">
        <v>162.001122434662</v>
      </c>
      <c r="F84" s="33">
        <v>448.0</v>
      </c>
      <c r="G84" s="33">
        <v>0.0</v>
      </c>
      <c r="H84" s="32">
        <v>30.5738234378848</v>
      </c>
      <c r="I84" s="34"/>
      <c r="J84" s="31">
        <v>92394.0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</row>
    <row r="85">
      <c r="A85" s="30" t="s">
        <v>455</v>
      </c>
      <c r="B85" s="31">
        <v>570761.0</v>
      </c>
      <c r="C85" s="31">
        <v>25089.0</v>
      </c>
      <c r="D85" s="32">
        <v>90.0292756600398</v>
      </c>
      <c r="E85" s="32">
        <v>88.16910580786</v>
      </c>
      <c r="F85" s="33">
        <v>1180.0</v>
      </c>
      <c r="G85" s="33">
        <v>-1000.0</v>
      </c>
      <c r="H85" s="32">
        <v>21.6366572631656</v>
      </c>
      <c r="I85" s="34"/>
      <c r="J85" s="31">
        <v>111950.0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</row>
    <row r="86">
      <c r="A86" s="30" t="s">
        <v>458</v>
      </c>
      <c r="B86" s="31">
        <v>316031.0</v>
      </c>
      <c r="C86" s="31">
        <v>14162.0</v>
      </c>
      <c r="D86" s="32">
        <v>404.146396421553</v>
      </c>
      <c r="E86" s="33">
        <v>404.844449</v>
      </c>
      <c r="F86" s="33">
        <v>800.0</v>
      </c>
      <c r="G86" s="33">
        <v>0.0</v>
      </c>
      <c r="H86" s="32">
        <v>43.7603519098378</v>
      </c>
      <c r="I86" s="34"/>
      <c r="J86" s="31">
        <v>100792.0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</row>
    <row r="87">
      <c r="A87" s="30" t="s">
        <v>468</v>
      </c>
      <c r="B87" s="31">
        <v>50307.0</v>
      </c>
      <c r="C87" s="31">
        <v>13373.0</v>
      </c>
      <c r="D87" s="32">
        <v>4.2716528256505</v>
      </c>
      <c r="E87" s="33">
        <v>4.2598659</v>
      </c>
      <c r="F87" s="33">
        <v>7.9</v>
      </c>
      <c r="G87" s="33">
        <v>0.0314</v>
      </c>
      <c r="H87" s="32">
        <v>1.26355002685649</v>
      </c>
      <c r="I87" s="34"/>
      <c r="J87" s="31">
        <v>37250.0</v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>
      <c r="A88" s="30" t="s">
        <v>472</v>
      </c>
      <c r="B88" s="31">
        <v>26557.0</v>
      </c>
      <c r="C88" s="31">
        <v>7097.0</v>
      </c>
      <c r="D88" s="32">
        <v>13.6342501525021</v>
      </c>
      <c r="E88" s="32">
        <v>13.3821666603908</v>
      </c>
      <c r="F88" s="33">
        <v>29.9</v>
      </c>
      <c r="G88" s="33">
        <v>3.3</v>
      </c>
      <c r="H88" s="32">
        <v>1.20699595919994</v>
      </c>
      <c r="I88" s="34"/>
      <c r="J88" s="31">
        <v>22032.0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</row>
    <row r="89">
      <c r="A89" s="30" t="s">
        <v>482</v>
      </c>
      <c r="B89" s="31">
        <v>712310.0</v>
      </c>
      <c r="C89" s="31">
        <v>44352.0</v>
      </c>
      <c r="D89" s="32">
        <v>4.10320074054835</v>
      </c>
      <c r="E89" s="32">
        <v>3.4860327666325</v>
      </c>
      <c r="F89" s="33">
        <v>9999.0</v>
      </c>
      <c r="G89" s="33">
        <v>0.0</v>
      </c>
      <c r="H89" s="32">
        <v>23.1636418727379</v>
      </c>
      <c r="I89" s="34"/>
      <c r="J89" s="31">
        <v>187035.0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</row>
    <row r="90">
      <c r="A90" s="30" t="s">
        <v>486</v>
      </c>
      <c r="B90" s="31">
        <v>71610.0</v>
      </c>
      <c r="C90" s="31">
        <v>38284.0</v>
      </c>
      <c r="D90" s="32">
        <v>139.833496633151</v>
      </c>
      <c r="E90" s="32">
        <v>140.348484848484</v>
      </c>
      <c r="F90" s="33">
        <v>173.0</v>
      </c>
      <c r="G90" s="33">
        <v>50.0</v>
      </c>
      <c r="H90" s="32">
        <v>4.44563356681382</v>
      </c>
      <c r="I90" s="34"/>
      <c r="J90" s="31">
        <v>29294.0</v>
      </c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</row>
    <row r="91">
      <c r="A91" s="30" t="s">
        <v>489</v>
      </c>
      <c r="B91" s="31">
        <v>416154.0</v>
      </c>
      <c r="C91" s="31">
        <v>3439.0</v>
      </c>
      <c r="D91" s="32">
        <v>2595.54802091124</v>
      </c>
      <c r="E91" s="32">
        <v>2413.64015699356</v>
      </c>
      <c r="F91" s="33">
        <v>59865.8</v>
      </c>
      <c r="G91" s="33">
        <v>0.01</v>
      </c>
      <c r="H91" s="32">
        <v>1329.93198009155</v>
      </c>
      <c r="I91" s="34"/>
      <c r="J91" s="31">
        <v>180304.0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</row>
    <row r="92">
      <c r="A92" s="30" t="s">
        <v>493</v>
      </c>
      <c r="B92" s="31">
        <v>35601.0</v>
      </c>
      <c r="C92" s="31">
        <v>15960.0</v>
      </c>
      <c r="D92" s="32">
        <v>96.2616180079211</v>
      </c>
      <c r="E92" s="33">
        <v>96.8586066</v>
      </c>
      <c r="F92" s="33">
        <v>100.0</v>
      </c>
      <c r="G92" s="33">
        <v>58.0</v>
      </c>
      <c r="H92" s="32">
        <v>2.65805666189476</v>
      </c>
      <c r="I92" s="34"/>
      <c r="J92" s="31">
        <v>24065.0</v>
      </c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</row>
    <row r="93">
      <c r="A93" s="30" t="s">
        <v>498</v>
      </c>
      <c r="B93" s="31">
        <v>1972942.0</v>
      </c>
      <c r="C93" s="31">
        <v>178478.0</v>
      </c>
      <c r="D93" s="32">
        <v>127.888419155606</v>
      </c>
      <c r="E93" s="32">
        <v>126.080610844109</v>
      </c>
      <c r="F93" s="33">
        <v>304.0</v>
      </c>
      <c r="G93" s="33">
        <v>0.0</v>
      </c>
      <c r="H93" s="32">
        <v>24.4703058050448</v>
      </c>
      <c r="I93" s="34"/>
      <c r="J93" s="31">
        <v>340022.0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</row>
    <row r="94">
      <c r="A94" s="30" t="s">
        <v>521</v>
      </c>
      <c r="B94" s="31">
        <v>16927.0</v>
      </c>
      <c r="C94" s="31">
        <v>618.0</v>
      </c>
      <c r="D94" s="32">
        <v>23.4896375435694</v>
      </c>
      <c r="E94" s="32">
        <v>23.2238435635375</v>
      </c>
      <c r="F94" s="33">
        <v>33.0</v>
      </c>
      <c r="G94" s="33">
        <v>0.0</v>
      </c>
      <c r="H94" s="32">
        <v>1.6262973195379</v>
      </c>
      <c r="I94" s="34"/>
      <c r="J94" s="31">
        <v>7409.0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</row>
    <row r="95">
      <c r="A95" s="30" t="s">
        <v>525</v>
      </c>
      <c r="B95" s="31">
        <v>6621.0</v>
      </c>
      <c r="C95" s="31">
        <v>836.0</v>
      </c>
      <c r="D95" s="32">
        <v>144.006651095</v>
      </c>
      <c r="E95" s="32">
        <v>111.893943513064</v>
      </c>
      <c r="F95" s="33">
        <v>60717.9</v>
      </c>
      <c r="G95" s="33">
        <v>0.06</v>
      </c>
      <c r="H95" s="33">
        <v>817.7007485</v>
      </c>
      <c r="I95" s="34"/>
      <c r="J95" s="31">
        <v>4308.0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</row>
    <row r="96">
      <c r="A96" s="30" t="s">
        <v>528</v>
      </c>
      <c r="B96" s="31">
        <v>2813.0</v>
      </c>
      <c r="C96" s="31">
        <v>3616.0</v>
      </c>
      <c r="D96" s="33">
        <v>1368.2169</v>
      </c>
      <c r="E96" s="33">
        <v>1291.0</v>
      </c>
      <c r="F96" s="33">
        <v>5544.0</v>
      </c>
      <c r="G96" s="33">
        <v>-888.0</v>
      </c>
      <c r="H96" s="33">
        <v>461.6767</v>
      </c>
      <c r="I96" s="34"/>
      <c r="J96" s="31">
        <v>2813.0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</row>
    <row r="97">
      <c r="A97" s="30" t="s">
        <v>531</v>
      </c>
      <c r="B97" s="31">
        <v>342319.0</v>
      </c>
      <c r="C97" s="31">
        <v>97148.0</v>
      </c>
      <c r="D97" s="32">
        <v>205.427935002147</v>
      </c>
      <c r="E97" s="32">
        <v>202.714119374034</v>
      </c>
      <c r="F97" s="33">
        <v>1124.0</v>
      </c>
      <c r="G97" s="33">
        <v>50.0</v>
      </c>
      <c r="H97" s="32">
        <v>43.4700647384904</v>
      </c>
      <c r="I97" s="34"/>
      <c r="J97" s="31">
        <v>68159.0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</row>
    <row r="98">
      <c r="A98" s="30" t="s">
        <v>534</v>
      </c>
      <c r="B98" s="31">
        <v>268229.0</v>
      </c>
      <c r="C98" s="31">
        <v>58884.0</v>
      </c>
      <c r="D98" s="32">
        <v>153.421832981146</v>
      </c>
      <c r="E98" s="32">
        <v>107.470058688657</v>
      </c>
      <c r="F98" s="33">
        <v>9996.0</v>
      </c>
      <c r="G98" s="33">
        <v>0.0</v>
      </c>
      <c r="H98" s="32">
        <v>498.087543365342</v>
      </c>
      <c r="I98" s="34"/>
      <c r="J98" s="31">
        <v>65144.0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</row>
    <row r="99">
      <c r="A99" s="30" t="s">
        <v>539</v>
      </c>
      <c r="B99" s="31">
        <v>40524.0</v>
      </c>
      <c r="C99" s="31">
        <v>49819.0</v>
      </c>
      <c r="D99" s="33">
        <v>0.4853</v>
      </c>
      <c r="E99" s="33">
        <v>0.012</v>
      </c>
      <c r="F99" s="33">
        <v>476.67</v>
      </c>
      <c r="G99" s="33">
        <v>0.0</v>
      </c>
      <c r="H99" s="33">
        <v>6.2045</v>
      </c>
      <c r="I99" s="34"/>
      <c r="J99" s="31">
        <v>11650.0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</row>
    <row r="100">
      <c r="A100" s="36" t="s">
        <v>543</v>
      </c>
      <c r="B100" s="31">
        <v>1005408.0</v>
      </c>
      <c r="C100" s="31">
        <v>6102.0</v>
      </c>
      <c r="D100" s="32">
        <v>21.6320184053013</v>
      </c>
      <c r="E100" s="32">
        <v>21.2784526335085</v>
      </c>
      <c r="F100" s="33">
        <v>360.08</v>
      </c>
      <c r="G100" s="33">
        <v>0.0</v>
      </c>
      <c r="H100" s="34"/>
      <c r="I100" s="32" t="s">
        <v>751</v>
      </c>
      <c r="J100" s="31">
        <v>170415.0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</row>
    <row r="101">
      <c r="A101" s="36" t="s">
        <v>547</v>
      </c>
      <c r="B101" s="31">
        <v>28455.0</v>
      </c>
      <c r="C101" s="31">
        <v>6116.0</v>
      </c>
      <c r="D101" s="32">
        <v>770.726711695659</v>
      </c>
      <c r="E101" s="32">
        <v>116.532321208926</v>
      </c>
      <c r="F101" s="33">
        <v>51942.3</v>
      </c>
      <c r="G101" s="33">
        <v>1.0</v>
      </c>
      <c r="H101" s="32">
        <v>3040.29722416712</v>
      </c>
      <c r="I101" s="34"/>
      <c r="J101" s="31">
        <v>21416.0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</row>
    <row r="102">
      <c r="A102" s="30" t="s">
        <v>552</v>
      </c>
      <c r="B102" s="31">
        <v>629572.0</v>
      </c>
      <c r="C102" s="31">
        <v>307163.0</v>
      </c>
      <c r="D102" s="32">
        <v>90.5175173057251</v>
      </c>
      <c r="E102" s="32">
        <v>88.9805640975138</v>
      </c>
      <c r="F102" s="33">
        <v>398.8</v>
      </c>
      <c r="G102" s="33">
        <v>0.0</v>
      </c>
      <c r="H102" s="32">
        <v>14.8584549483432</v>
      </c>
      <c r="I102" s="34"/>
      <c r="J102" s="31">
        <v>209831.0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</row>
    <row r="103">
      <c r="A103" s="30" t="s">
        <v>555</v>
      </c>
      <c r="B103" s="31">
        <v>452540.0</v>
      </c>
      <c r="C103" s="31">
        <v>237146.0</v>
      </c>
      <c r="D103" s="32">
        <v>0.833655932072303</v>
      </c>
      <c r="E103" s="32">
        <v>0.830364819684447</v>
      </c>
      <c r="F103" s="33">
        <v>1.9825</v>
      </c>
      <c r="G103" s="33">
        <v>0.433</v>
      </c>
      <c r="H103" s="33">
        <v>0.085825061</v>
      </c>
      <c r="I103" s="34"/>
      <c r="J103" s="31">
        <v>173177.0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</row>
    <row r="104">
      <c r="A104" s="30" t="s">
        <v>558</v>
      </c>
      <c r="B104" s="31">
        <v>310361.0</v>
      </c>
      <c r="C104" s="31">
        <v>31316.0</v>
      </c>
      <c r="D104" s="32">
        <v>6.05413991899755</v>
      </c>
      <c r="E104" s="32">
        <v>5.65064392755533</v>
      </c>
      <c r="F104" s="33">
        <v>902.0</v>
      </c>
      <c r="G104" s="33">
        <v>0.1</v>
      </c>
      <c r="H104" s="33">
        <v>8.806763466</v>
      </c>
      <c r="I104" s="34"/>
      <c r="J104" s="31">
        <v>194714.0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</row>
    <row r="105">
      <c r="A105" s="35"/>
      <c r="B105" s="37"/>
      <c r="C105" s="37"/>
      <c r="D105" s="35"/>
      <c r="E105" s="35"/>
      <c r="F105" s="35"/>
      <c r="G105" s="35"/>
      <c r="H105" s="35"/>
      <c r="I105" s="38"/>
      <c r="J105" s="37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</row>
    <row r="106">
      <c r="A106" s="35"/>
      <c r="B106" s="37"/>
      <c r="C106" s="37"/>
      <c r="D106" s="35"/>
      <c r="E106" s="35"/>
      <c r="F106" s="35"/>
      <c r="G106" s="35"/>
      <c r="H106" s="35"/>
      <c r="I106" s="38"/>
      <c r="J106" s="37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</row>
    <row r="107">
      <c r="A107" s="35"/>
      <c r="B107" s="37"/>
      <c r="C107" s="37"/>
      <c r="D107" s="35"/>
      <c r="E107" s="35"/>
      <c r="F107" s="35"/>
      <c r="G107" s="35"/>
      <c r="H107" s="35"/>
      <c r="I107" s="38"/>
      <c r="J107" s="37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</row>
    <row r="108">
      <c r="A108" s="35"/>
      <c r="B108" s="37"/>
      <c r="C108" s="37"/>
      <c r="D108" s="35"/>
      <c r="E108" s="35"/>
      <c r="F108" s="35"/>
      <c r="G108" s="35"/>
      <c r="H108" s="35"/>
      <c r="I108" s="38"/>
      <c r="J108" s="37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</row>
    <row r="109">
      <c r="A109" s="35"/>
      <c r="B109" s="37"/>
      <c r="C109" s="37"/>
      <c r="D109" s="35"/>
      <c r="E109" s="35"/>
      <c r="F109" s="35"/>
      <c r="G109" s="35"/>
      <c r="H109" s="35"/>
      <c r="I109" s="38"/>
      <c r="J109" s="37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</row>
    <row r="110">
      <c r="A110" s="35"/>
      <c r="B110" s="37"/>
      <c r="C110" s="37"/>
      <c r="D110" s="35"/>
      <c r="E110" s="35"/>
      <c r="F110" s="35"/>
      <c r="G110" s="35"/>
      <c r="H110" s="35"/>
      <c r="I110" s="38"/>
      <c r="J110" s="37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</row>
    <row r="111">
      <c r="A111" s="35"/>
      <c r="B111" s="37"/>
      <c r="C111" s="37"/>
      <c r="D111" s="35"/>
      <c r="E111" s="35"/>
      <c r="F111" s="35"/>
      <c r="G111" s="35"/>
      <c r="H111" s="35"/>
      <c r="I111" s="38"/>
      <c r="J111" s="37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</row>
    <row r="112">
      <c r="A112" s="35"/>
      <c r="B112" s="37"/>
      <c r="C112" s="37"/>
      <c r="D112" s="35"/>
      <c r="E112" s="35"/>
      <c r="F112" s="35"/>
      <c r="G112" s="35"/>
      <c r="H112" s="35"/>
      <c r="I112" s="38"/>
      <c r="J112" s="37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</row>
    <row r="113">
      <c r="A113" s="35"/>
      <c r="B113" s="37"/>
      <c r="C113" s="37"/>
      <c r="D113" s="35"/>
      <c r="E113" s="35"/>
      <c r="F113" s="35"/>
      <c r="G113" s="35"/>
      <c r="H113" s="35"/>
      <c r="I113" s="38"/>
      <c r="J113" s="37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</row>
    <row r="114">
      <c r="A114" s="35"/>
      <c r="B114" s="37"/>
      <c r="C114" s="37"/>
      <c r="D114" s="35"/>
      <c r="E114" s="35"/>
      <c r="F114" s="35"/>
      <c r="G114" s="35"/>
      <c r="H114" s="35"/>
      <c r="I114" s="38"/>
      <c r="J114" s="37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</row>
    <row r="115">
      <c r="A115" s="35"/>
      <c r="B115" s="37"/>
      <c r="C115" s="37"/>
      <c r="D115" s="35"/>
      <c r="E115" s="35"/>
      <c r="F115" s="35"/>
      <c r="G115" s="35"/>
      <c r="H115" s="35"/>
      <c r="I115" s="38"/>
      <c r="J115" s="37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</row>
    <row r="116">
      <c r="A116" s="35"/>
      <c r="B116" s="37"/>
      <c r="C116" s="37"/>
      <c r="D116" s="35"/>
      <c r="E116" s="35"/>
      <c r="F116" s="35"/>
      <c r="G116" s="35"/>
      <c r="H116" s="35"/>
      <c r="I116" s="38"/>
      <c r="J116" s="37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</row>
    <row r="117">
      <c r="A117" s="35"/>
      <c r="B117" s="37"/>
      <c r="C117" s="37"/>
      <c r="D117" s="35"/>
      <c r="E117" s="35"/>
      <c r="F117" s="35"/>
      <c r="G117" s="35"/>
      <c r="H117" s="35"/>
      <c r="I117" s="38"/>
      <c r="J117" s="37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</row>
    <row r="118">
      <c r="A118" s="35"/>
      <c r="B118" s="37"/>
      <c r="C118" s="37"/>
      <c r="D118" s="35"/>
      <c r="E118" s="35"/>
      <c r="F118" s="35"/>
      <c r="G118" s="35"/>
      <c r="H118" s="35"/>
      <c r="I118" s="38"/>
      <c r="J118" s="37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</row>
    <row r="119">
      <c r="A119" s="35"/>
      <c r="B119" s="37"/>
      <c r="C119" s="37"/>
      <c r="D119" s="35"/>
      <c r="E119" s="35"/>
      <c r="F119" s="35"/>
      <c r="G119" s="35"/>
      <c r="H119" s="35"/>
      <c r="I119" s="38"/>
      <c r="J119" s="37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</row>
    <row r="120">
      <c r="A120" s="35"/>
      <c r="B120" s="37"/>
      <c r="C120" s="37"/>
      <c r="D120" s="35"/>
      <c r="E120" s="35"/>
      <c r="F120" s="35"/>
      <c r="G120" s="35"/>
      <c r="H120" s="35"/>
      <c r="I120" s="38"/>
      <c r="J120" s="37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</row>
    <row r="121">
      <c r="A121" s="35"/>
      <c r="B121" s="37"/>
      <c r="C121" s="37"/>
      <c r="D121" s="35"/>
      <c r="E121" s="35"/>
      <c r="F121" s="35"/>
      <c r="G121" s="35"/>
      <c r="H121" s="35"/>
      <c r="I121" s="38"/>
      <c r="J121" s="37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</row>
    <row r="122">
      <c r="A122" s="35"/>
      <c r="B122" s="37"/>
      <c r="C122" s="37"/>
      <c r="D122" s="35"/>
      <c r="E122" s="35"/>
      <c r="F122" s="35"/>
      <c r="G122" s="35"/>
      <c r="H122" s="35"/>
      <c r="I122" s="38"/>
      <c r="J122" s="37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</row>
    <row r="123">
      <c r="A123" s="35"/>
      <c r="B123" s="37"/>
      <c r="C123" s="37"/>
      <c r="D123" s="35"/>
      <c r="E123" s="35"/>
      <c r="F123" s="35"/>
      <c r="G123" s="35"/>
      <c r="H123" s="35"/>
      <c r="I123" s="38"/>
      <c r="J123" s="37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</row>
    <row r="124">
      <c r="A124" s="35"/>
      <c r="B124" s="37"/>
      <c r="C124" s="37"/>
      <c r="D124" s="35"/>
      <c r="E124" s="35"/>
      <c r="F124" s="35"/>
      <c r="G124" s="35"/>
      <c r="H124" s="35"/>
      <c r="I124" s="38"/>
      <c r="J124" s="37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</row>
    <row r="125">
      <c r="A125" s="35"/>
      <c r="B125" s="37"/>
      <c r="C125" s="37"/>
      <c r="D125" s="35"/>
      <c r="E125" s="35"/>
      <c r="F125" s="35"/>
      <c r="G125" s="35"/>
      <c r="H125" s="35"/>
      <c r="I125" s="38"/>
      <c r="J125" s="37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</row>
    <row r="126">
      <c r="A126" s="35"/>
      <c r="B126" s="37"/>
      <c r="C126" s="37"/>
      <c r="D126" s="35"/>
      <c r="E126" s="35"/>
      <c r="F126" s="35"/>
      <c r="G126" s="35"/>
      <c r="H126" s="35"/>
      <c r="I126" s="38"/>
      <c r="J126" s="37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</row>
    <row r="127">
      <c r="A127" s="35"/>
      <c r="B127" s="37"/>
      <c r="C127" s="37"/>
      <c r="D127" s="35"/>
      <c r="E127" s="35"/>
      <c r="F127" s="35"/>
      <c r="G127" s="35"/>
      <c r="H127" s="35"/>
      <c r="I127" s="38"/>
      <c r="J127" s="37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</row>
    <row r="128">
      <c r="A128" s="35"/>
      <c r="B128" s="37"/>
      <c r="C128" s="37"/>
      <c r="D128" s="35"/>
      <c r="E128" s="35"/>
      <c r="F128" s="35"/>
      <c r="G128" s="35"/>
      <c r="H128" s="35"/>
      <c r="I128" s="38"/>
      <c r="J128" s="37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</row>
    <row r="129">
      <c r="A129" s="35"/>
      <c r="B129" s="37"/>
      <c r="C129" s="37"/>
      <c r="D129" s="35"/>
      <c r="E129" s="35"/>
      <c r="F129" s="35"/>
      <c r="G129" s="35"/>
      <c r="H129" s="35"/>
      <c r="I129" s="38"/>
      <c r="J129" s="37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</row>
    <row r="130">
      <c r="A130" s="35"/>
      <c r="B130" s="37"/>
      <c r="C130" s="37"/>
      <c r="D130" s="35"/>
      <c r="E130" s="35"/>
      <c r="F130" s="35"/>
      <c r="G130" s="35"/>
      <c r="H130" s="35"/>
      <c r="I130" s="38"/>
      <c r="J130" s="37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</row>
    <row r="131">
      <c r="A131" s="35"/>
      <c r="B131" s="37"/>
      <c r="C131" s="37"/>
      <c r="D131" s="35"/>
      <c r="E131" s="35"/>
      <c r="F131" s="35"/>
      <c r="G131" s="35"/>
      <c r="H131" s="35"/>
      <c r="I131" s="38"/>
      <c r="J131" s="37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</row>
    <row r="132">
      <c r="A132" s="35"/>
      <c r="B132" s="37"/>
      <c r="C132" s="37"/>
      <c r="D132" s="35"/>
      <c r="E132" s="35"/>
      <c r="F132" s="35"/>
      <c r="G132" s="35"/>
      <c r="H132" s="35"/>
      <c r="I132" s="38"/>
      <c r="J132" s="37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</row>
    <row r="133">
      <c r="A133" s="35"/>
      <c r="B133" s="37"/>
      <c r="C133" s="37"/>
      <c r="D133" s="35"/>
      <c r="E133" s="35"/>
      <c r="F133" s="35"/>
      <c r="G133" s="35"/>
      <c r="H133" s="35"/>
      <c r="I133" s="38"/>
      <c r="J133" s="37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</row>
    <row r="134">
      <c r="A134" s="35"/>
      <c r="B134" s="37"/>
      <c r="C134" s="37"/>
      <c r="D134" s="35"/>
      <c r="E134" s="35"/>
      <c r="F134" s="35"/>
      <c r="G134" s="35"/>
      <c r="H134" s="35"/>
      <c r="I134" s="38"/>
      <c r="J134" s="37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</row>
    <row r="135">
      <c r="A135" s="35"/>
      <c r="B135" s="37"/>
      <c r="C135" s="37"/>
      <c r="D135" s="35"/>
      <c r="E135" s="35"/>
      <c r="F135" s="35"/>
      <c r="G135" s="35"/>
      <c r="H135" s="35"/>
      <c r="I135" s="38"/>
      <c r="J135" s="37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</row>
    <row r="136">
      <c r="A136" s="35"/>
      <c r="B136" s="37"/>
      <c r="C136" s="37"/>
      <c r="D136" s="35"/>
      <c r="E136" s="35"/>
      <c r="F136" s="35"/>
      <c r="G136" s="35"/>
      <c r="H136" s="35"/>
      <c r="I136" s="38"/>
      <c r="J136" s="37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</row>
    <row r="137">
      <c r="A137" s="35"/>
      <c r="B137" s="37"/>
      <c r="C137" s="37"/>
      <c r="D137" s="35"/>
      <c r="E137" s="35"/>
      <c r="F137" s="35"/>
      <c r="G137" s="35"/>
      <c r="H137" s="35"/>
      <c r="I137" s="38"/>
      <c r="J137" s="37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</row>
    <row r="138">
      <c r="A138" s="35"/>
      <c r="B138" s="37"/>
      <c r="C138" s="37"/>
      <c r="D138" s="35"/>
      <c r="E138" s="35"/>
      <c r="F138" s="35"/>
      <c r="G138" s="35"/>
      <c r="H138" s="35"/>
      <c r="I138" s="38"/>
      <c r="J138" s="37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>
      <c r="A139" s="35"/>
      <c r="B139" s="37"/>
      <c r="C139" s="37"/>
      <c r="D139" s="35"/>
      <c r="E139" s="35"/>
      <c r="F139" s="35"/>
      <c r="G139" s="35"/>
      <c r="H139" s="35"/>
      <c r="I139" s="38"/>
      <c r="J139" s="37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</row>
    <row r="140">
      <c r="A140" s="35"/>
      <c r="B140" s="37"/>
      <c r="C140" s="37"/>
      <c r="D140" s="35"/>
      <c r="E140" s="35"/>
      <c r="F140" s="35"/>
      <c r="G140" s="35"/>
      <c r="H140" s="35"/>
      <c r="I140" s="38"/>
      <c r="J140" s="37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</row>
    <row r="141">
      <c r="A141" s="35"/>
      <c r="B141" s="37"/>
      <c r="C141" s="37"/>
      <c r="D141" s="35"/>
      <c r="E141" s="35"/>
      <c r="F141" s="35"/>
      <c r="G141" s="35"/>
      <c r="H141" s="35"/>
      <c r="I141" s="38"/>
      <c r="J141" s="37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</row>
    <row r="142">
      <c r="A142" s="35"/>
      <c r="B142" s="37"/>
      <c r="C142" s="37"/>
      <c r="D142" s="35"/>
      <c r="E142" s="35"/>
      <c r="F142" s="35"/>
      <c r="G142" s="35"/>
      <c r="H142" s="35"/>
      <c r="I142" s="38"/>
      <c r="J142" s="37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</row>
    <row r="143">
      <c r="A143" s="35"/>
      <c r="B143" s="37"/>
      <c r="C143" s="37"/>
      <c r="D143" s="35"/>
      <c r="E143" s="35"/>
      <c r="F143" s="35"/>
      <c r="G143" s="35"/>
      <c r="H143" s="35"/>
      <c r="I143" s="38"/>
      <c r="J143" s="37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</row>
    <row r="144">
      <c r="A144" s="35"/>
      <c r="B144" s="37"/>
      <c r="C144" s="37"/>
      <c r="D144" s="35"/>
      <c r="E144" s="35"/>
      <c r="F144" s="35"/>
      <c r="G144" s="35"/>
      <c r="H144" s="35"/>
      <c r="I144" s="38"/>
      <c r="J144" s="37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</row>
    <row r="145">
      <c r="A145" s="35"/>
      <c r="B145" s="37"/>
      <c r="C145" s="37"/>
      <c r="D145" s="35"/>
      <c r="E145" s="35"/>
      <c r="F145" s="35"/>
      <c r="G145" s="35"/>
      <c r="H145" s="35"/>
      <c r="I145" s="38"/>
      <c r="J145" s="37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</row>
    <row r="146">
      <c r="A146" s="35"/>
      <c r="B146" s="37"/>
      <c r="C146" s="37"/>
      <c r="D146" s="35"/>
      <c r="E146" s="35"/>
      <c r="F146" s="35"/>
      <c r="G146" s="35"/>
      <c r="H146" s="35"/>
      <c r="I146" s="38"/>
      <c r="J146" s="37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>
      <c r="A147" s="35"/>
      <c r="B147" s="37"/>
      <c r="C147" s="37"/>
      <c r="D147" s="35"/>
      <c r="E147" s="35"/>
      <c r="F147" s="35"/>
      <c r="G147" s="35"/>
      <c r="H147" s="35"/>
      <c r="I147" s="38"/>
      <c r="J147" s="37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>
      <c r="A148" s="35"/>
      <c r="B148" s="37"/>
      <c r="C148" s="37"/>
      <c r="D148" s="35"/>
      <c r="E148" s="35"/>
      <c r="F148" s="35"/>
      <c r="G148" s="35"/>
      <c r="H148" s="35"/>
      <c r="I148" s="38"/>
      <c r="J148" s="37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>
      <c r="A149" s="35"/>
      <c r="B149" s="37"/>
      <c r="C149" s="37"/>
      <c r="D149" s="35"/>
      <c r="E149" s="35"/>
      <c r="F149" s="35"/>
      <c r="G149" s="35"/>
      <c r="H149" s="35"/>
      <c r="I149" s="38"/>
      <c r="J149" s="37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</row>
    <row r="150">
      <c r="A150" s="35"/>
      <c r="B150" s="37"/>
      <c r="C150" s="37"/>
      <c r="D150" s="35"/>
      <c r="E150" s="35"/>
      <c r="F150" s="35"/>
      <c r="G150" s="35"/>
      <c r="H150" s="35"/>
      <c r="I150" s="38"/>
      <c r="J150" s="37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</row>
    <row r="151">
      <c r="A151" s="35"/>
      <c r="B151" s="37"/>
      <c r="C151" s="37"/>
      <c r="D151" s="35"/>
      <c r="E151" s="35"/>
      <c r="F151" s="35"/>
      <c r="G151" s="35"/>
      <c r="H151" s="35"/>
      <c r="I151" s="38"/>
      <c r="J151" s="37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</row>
    <row r="152">
      <c r="A152" s="35"/>
      <c r="B152" s="37"/>
      <c r="C152" s="37"/>
      <c r="D152" s="35"/>
      <c r="E152" s="35"/>
      <c r="F152" s="35"/>
      <c r="G152" s="35"/>
      <c r="H152" s="35"/>
      <c r="I152" s="38"/>
      <c r="J152" s="37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</row>
    <row r="153">
      <c r="A153" s="35"/>
      <c r="B153" s="37"/>
      <c r="C153" s="37"/>
      <c r="D153" s="35"/>
      <c r="E153" s="35"/>
      <c r="F153" s="35"/>
      <c r="G153" s="35"/>
      <c r="H153" s="35"/>
      <c r="I153" s="38"/>
      <c r="J153" s="37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</row>
    <row r="154">
      <c r="A154" s="35"/>
      <c r="B154" s="37"/>
      <c r="C154" s="37"/>
      <c r="D154" s="35"/>
      <c r="E154" s="35"/>
      <c r="F154" s="35"/>
      <c r="G154" s="35"/>
      <c r="H154" s="35"/>
      <c r="I154" s="38"/>
      <c r="J154" s="37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</row>
    <row r="155">
      <c r="A155" s="35"/>
      <c r="B155" s="37"/>
      <c r="C155" s="37"/>
      <c r="D155" s="35"/>
      <c r="E155" s="35"/>
      <c r="F155" s="35"/>
      <c r="G155" s="35"/>
      <c r="H155" s="35"/>
      <c r="I155" s="38"/>
      <c r="J155" s="37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</row>
    <row r="156">
      <c r="A156" s="35"/>
      <c r="B156" s="37"/>
      <c r="C156" s="37"/>
      <c r="D156" s="35"/>
      <c r="E156" s="35"/>
      <c r="F156" s="35"/>
      <c r="G156" s="35"/>
      <c r="H156" s="35"/>
      <c r="I156" s="38"/>
      <c r="J156" s="37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</row>
    <row r="157">
      <c r="A157" s="35"/>
      <c r="B157" s="37"/>
      <c r="C157" s="37"/>
      <c r="D157" s="35"/>
      <c r="E157" s="35"/>
      <c r="F157" s="35"/>
      <c r="G157" s="35"/>
      <c r="H157" s="35"/>
      <c r="I157" s="38"/>
      <c r="J157" s="37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</row>
    <row r="158">
      <c r="A158" s="35"/>
      <c r="B158" s="37"/>
      <c r="C158" s="37"/>
      <c r="D158" s="35"/>
      <c r="E158" s="35"/>
      <c r="F158" s="35"/>
      <c r="G158" s="35"/>
      <c r="H158" s="35"/>
      <c r="I158" s="38"/>
      <c r="J158" s="37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</row>
    <row r="159">
      <c r="A159" s="35"/>
      <c r="B159" s="37"/>
      <c r="C159" s="37"/>
      <c r="D159" s="35"/>
      <c r="E159" s="35"/>
      <c r="F159" s="35"/>
      <c r="G159" s="35"/>
      <c r="H159" s="35"/>
      <c r="I159" s="38"/>
      <c r="J159" s="37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</row>
    <row r="160">
      <c r="A160" s="35"/>
      <c r="B160" s="37"/>
      <c r="C160" s="37"/>
      <c r="D160" s="35"/>
      <c r="E160" s="35"/>
      <c r="F160" s="35"/>
      <c r="G160" s="35"/>
      <c r="H160" s="35"/>
      <c r="I160" s="38"/>
      <c r="J160" s="37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</row>
    <row r="161">
      <c r="A161" s="35"/>
      <c r="B161" s="37"/>
      <c r="C161" s="37"/>
      <c r="D161" s="35"/>
      <c r="E161" s="35"/>
      <c r="F161" s="35"/>
      <c r="G161" s="35"/>
      <c r="H161" s="35"/>
      <c r="I161" s="38"/>
      <c r="J161" s="37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</row>
    <row r="162">
      <c r="A162" s="35"/>
      <c r="B162" s="37"/>
      <c r="C162" s="37"/>
      <c r="D162" s="35"/>
      <c r="E162" s="35"/>
      <c r="F162" s="35"/>
      <c r="G162" s="35"/>
      <c r="H162" s="35"/>
      <c r="I162" s="38"/>
      <c r="J162" s="37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</row>
    <row r="163">
      <c r="A163" s="35"/>
      <c r="B163" s="37"/>
      <c r="C163" s="37"/>
      <c r="D163" s="35"/>
      <c r="E163" s="35"/>
      <c r="F163" s="35"/>
      <c r="G163" s="35"/>
      <c r="H163" s="35"/>
      <c r="I163" s="38"/>
      <c r="J163" s="37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</row>
    <row r="164">
      <c r="A164" s="35"/>
      <c r="B164" s="37"/>
      <c r="C164" s="37"/>
      <c r="D164" s="35"/>
      <c r="E164" s="35"/>
      <c r="F164" s="35"/>
      <c r="G164" s="35"/>
      <c r="H164" s="35"/>
      <c r="I164" s="38"/>
      <c r="J164" s="37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</row>
    <row r="165">
      <c r="A165" s="35"/>
      <c r="B165" s="37"/>
      <c r="C165" s="37"/>
      <c r="D165" s="35"/>
      <c r="E165" s="35"/>
      <c r="F165" s="35"/>
      <c r="G165" s="35"/>
      <c r="H165" s="35"/>
      <c r="I165" s="38"/>
      <c r="J165" s="37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</row>
    <row r="166">
      <c r="A166" s="35"/>
      <c r="B166" s="37"/>
      <c r="C166" s="37"/>
      <c r="D166" s="35"/>
      <c r="E166" s="35"/>
      <c r="F166" s="35"/>
      <c r="G166" s="35"/>
      <c r="H166" s="35"/>
      <c r="I166" s="38"/>
      <c r="J166" s="37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</row>
    <row r="167">
      <c r="A167" s="35"/>
      <c r="B167" s="37"/>
      <c r="C167" s="37"/>
      <c r="D167" s="35"/>
      <c r="E167" s="35"/>
      <c r="F167" s="35"/>
      <c r="G167" s="35"/>
      <c r="H167" s="35"/>
      <c r="I167" s="38"/>
      <c r="J167" s="37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</row>
    <row r="168">
      <c r="A168" s="35"/>
      <c r="B168" s="37"/>
      <c r="C168" s="37"/>
      <c r="D168" s="35"/>
      <c r="E168" s="35"/>
      <c r="F168" s="35"/>
      <c r="G168" s="35"/>
      <c r="H168" s="35"/>
      <c r="I168" s="38"/>
      <c r="J168" s="37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</row>
    <row r="169">
      <c r="A169" s="35"/>
      <c r="B169" s="37"/>
      <c r="C169" s="37"/>
      <c r="D169" s="35"/>
      <c r="E169" s="35"/>
      <c r="F169" s="35"/>
      <c r="G169" s="35"/>
      <c r="H169" s="35"/>
      <c r="I169" s="38"/>
      <c r="J169" s="37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</row>
    <row r="170">
      <c r="A170" s="35"/>
      <c r="B170" s="37"/>
      <c r="C170" s="37"/>
      <c r="D170" s="35"/>
      <c r="E170" s="35"/>
      <c r="F170" s="35"/>
      <c r="G170" s="35"/>
      <c r="H170" s="35"/>
      <c r="I170" s="38"/>
      <c r="J170" s="37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</row>
    <row r="171">
      <c r="A171" s="35"/>
      <c r="B171" s="37"/>
      <c r="C171" s="37"/>
      <c r="D171" s="35"/>
      <c r="E171" s="35"/>
      <c r="F171" s="35"/>
      <c r="G171" s="35"/>
      <c r="H171" s="35"/>
      <c r="I171" s="38"/>
      <c r="J171" s="37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</row>
    <row r="172">
      <c r="A172" s="35"/>
      <c r="B172" s="37"/>
      <c r="C172" s="37"/>
      <c r="D172" s="35"/>
      <c r="E172" s="35"/>
      <c r="F172" s="35"/>
      <c r="G172" s="35"/>
      <c r="H172" s="35"/>
      <c r="I172" s="38"/>
      <c r="J172" s="37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>
      <c r="A173" s="35"/>
      <c r="B173" s="37"/>
      <c r="C173" s="37"/>
      <c r="D173" s="35"/>
      <c r="E173" s="35"/>
      <c r="F173" s="35"/>
      <c r="G173" s="35"/>
      <c r="H173" s="35"/>
      <c r="I173" s="38"/>
      <c r="J173" s="37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</row>
    <row r="174">
      <c r="A174" s="35"/>
      <c r="B174" s="37"/>
      <c r="C174" s="37"/>
      <c r="D174" s="35"/>
      <c r="E174" s="35"/>
      <c r="F174" s="35"/>
      <c r="G174" s="35"/>
      <c r="H174" s="35"/>
      <c r="I174" s="38"/>
      <c r="J174" s="37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</row>
    <row r="175">
      <c r="A175" s="35"/>
      <c r="B175" s="37"/>
      <c r="C175" s="37"/>
      <c r="D175" s="35"/>
      <c r="E175" s="35"/>
      <c r="F175" s="35"/>
      <c r="G175" s="35"/>
      <c r="H175" s="35"/>
      <c r="I175" s="38"/>
      <c r="J175" s="37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</row>
    <row r="176">
      <c r="A176" s="35"/>
      <c r="B176" s="37"/>
      <c r="C176" s="37"/>
      <c r="D176" s="35"/>
      <c r="E176" s="35"/>
      <c r="F176" s="35"/>
      <c r="G176" s="35"/>
      <c r="H176" s="35"/>
      <c r="I176" s="38"/>
      <c r="J176" s="37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</row>
    <row r="177">
      <c r="A177" s="35"/>
      <c r="B177" s="37"/>
      <c r="C177" s="37"/>
      <c r="D177" s="35"/>
      <c r="E177" s="35"/>
      <c r="F177" s="35"/>
      <c r="G177" s="35"/>
      <c r="H177" s="35"/>
      <c r="I177" s="38"/>
      <c r="J177" s="37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</row>
    <row r="178">
      <c r="A178" s="35"/>
      <c r="B178" s="37"/>
      <c r="C178" s="37"/>
      <c r="D178" s="35"/>
      <c r="E178" s="35"/>
      <c r="F178" s="35"/>
      <c r="G178" s="35"/>
      <c r="H178" s="35"/>
      <c r="I178" s="38"/>
      <c r="J178" s="37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</row>
    <row r="179">
      <c r="A179" s="35"/>
      <c r="B179" s="37"/>
      <c r="C179" s="37"/>
      <c r="D179" s="35"/>
      <c r="E179" s="35"/>
      <c r="F179" s="35"/>
      <c r="G179" s="35"/>
      <c r="H179" s="35"/>
      <c r="I179" s="38"/>
      <c r="J179" s="37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</row>
    <row r="180">
      <c r="A180" s="35"/>
      <c r="B180" s="37"/>
      <c r="C180" s="37"/>
      <c r="D180" s="35"/>
      <c r="E180" s="35"/>
      <c r="F180" s="35"/>
      <c r="G180" s="35"/>
      <c r="H180" s="35"/>
      <c r="I180" s="38"/>
      <c r="J180" s="37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</row>
    <row r="181">
      <c r="A181" s="35"/>
      <c r="B181" s="37"/>
      <c r="C181" s="37"/>
      <c r="D181" s="35"/>
      <c r="E181" s="35"/>
      <c r="F181" s="35"/>
      <c r="G181" s="35"/>
      <c r="H181" s="35"/>
      <c r="I181" s="38"/>
      <c r="J181" s="37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</row>
    <row r="182">
      <c r="A182" s="35"/>
      <c r="B182" s="37"/>
      <c r="C182" s="37"/>
      <c r="D182" s="35"/>
      <c r="E182" s="35"/>
      <c r="F182" s="35"/>
      <c r="G182" s="35"/>
      <c r="H182" s="35"/>
      <c r="I182" s="38"/>
      <c r="J182" s="37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</row>
    <row r="183">
      <c r="A183" s="35"/>
      <c r="B183" s="37"/>
      <c r="C183" s="37"/>
      <c r="D183" s="35"/>
      <c r="E183" s="35"/>
      <c r="F183" s="35"/>
      <c r="G183" s="35"/>
      <c r="H183" s="35"/>
      <c r="I183" s="38"/>
      <c r="J183" s="37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</row>
    <row r="184">
      <c r="A184" s="35"/>
      <c r="B184" s="37"/>
      <c r="C184" s="37"/>
      <c r="D184" s="35"/>
      <c r="E184" s="35"/>
      <c r="F184" s="35"/>
      <c r="G184" s="35"/>
      <c r="H184" s="35"/>
      <c r="I184" s="38"/>
      <c r="J184" s="37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</row>
    <row r="185">
      <c r="A185" s="35"/>
      <c r="B185" s="37"/>
      <c r="C185" s="37"/>
      <c r="D185" s="35"/>
      <c r="E185" s="35"/>
      <c r="F185" s="35"/>
      <c r="G185" s="35"/>
      <c r="H185" s="35"/>
      <c r="I185" s="38"/>
      <c r="J185" s="37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</row>
    <row r="186">
      <c r="A186" s="35"/>
      <c r="B186" s="37"/>
      <c r="C186" s="37"/>
      <c r="D186" s="35"/>
      <c r="E186" s="35"/>
      <c r="F186" s="35"/>
      <c r="G186" s="35"/>
      <c r="H186" s="35"/>
      <c r="I186" s="38"/>
      <c r="J186" s="37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</row>
    <row r="187">
      <c r="A187" s="35"/>
      <c r="B187" s="37"/>
      <c r="C187" s="37"/>
      <c r="D187" s="35"/>
      <c r="E187" s="35"/>
      <c r="F187" s="35"/>
      <c r="G187" s="35"/>
      <c r="H187" s="35"/>
      <c r="I187" s="38"/>
      <c r="J187" s="37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</row>
    <row r="188">
      <c r="A188" s="35"/>
      <c r="B188" s="37"/>
      <c r="C188" s="37"/>
      <c r="D188" s="35"/>
      <c r="E188" s="35"/>
      <c r="F188" s="35"/>
      <c r="G188" s="35"/>
      <c r="H188" s="35"/>
      <c r="I188" s="38"/>
      <c r="J188" s="37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</row>
    <row r="189">
      <c r="A189" s="35"/>
      <c r="B189" s="37"/>
      <c r="C189" s="37"/>
      <c r="D189" s="35"/>
      <c r="E189" s="35"/>
      <c r="F189" s="35"/>
      <c r="G189" s="35"/>
      <c r="H189" s="35"/>
      <c r="I189" s="38"/>
      <c r="J189" s="37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</row>
    <row r="190">
      <c r="A190" s="35"/>
      <c r="B190" s="37"/>
      <c r="C190" s="37"/>
      <c r="D190" s="35"/>
      <c r="E190" s="35"/>
      <c r="F190" s="35"/>
      <c r="G190" s="35"/>
      <c r="H190" s="35"/>
      <c r="I190" s="38"/>
      <c r="J190" s="37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</row>
    <row r="191">
      <c r="A191" s="35"/>
      <c r="B191" s="37"/>
      <c r="C191" s="37"/>
      <c r="D191" s="35"/>
      <c r="E191" s="35"/>
      <c r="F191" s="35"/>
      <c r="G191" s="35"/>
      <c r="H191" s="35"/>
      <c r="I191" s="38"/>
      <c r="J191" s="37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</row>
    <row r="192">
      <c r="A192" s="35"/>
      <c r="B192" s="37"/>
      <c r="C192" s="37"/>
      <c r="D192" s="35"/>
      <c r="E192" s="35"/>
      <c r="F192" s="35"/>
      <c r="G192" s="35"/>
      <c r="H192" s="35"/>
      <c r="I192" s="38"/>
      <c r="J192" s="37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</row>
    <row r="193">
      <c r="A193" s="35"/>
      <c r="B193" s="37"/>
      <c r="C193" s="37"/>
      <c r="D193" s="35"/>
      <c r="E193" s="35"/>
      <c r="F193" s="35"/>
      <c r="G193" s="35"/>
      <c r="H193" s="35"/>
      <c r="I193" s="38"/>
      <c r="J193" s="37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</row>
    <row r="194">
      <c r="A194" s="35"/>
      <c r="B194" s="37"/>
      <c r="C194" s="37"/>
      <c r="D194" s="35"/>
      <c r="E194" s="35"/>
      <c r="F194" s="35"/>
      <c r="G194" s="35"/>
      <c r="H194" s="35"/>
      <c r="I194" s="38"/>
      <c r="J194" s="37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</row>
    <row r="195">
      <c r="A195" s="35"/>
      <c r="B195" s="37"/>
      <c r="C195" s="37"/>
      <c r="D195" s="35"/>
      <c r="E195" s="35"/>
      <c r="F195" s="35"/>
      <c r="G195" s="35"/>
      <c r="H195" s="35"/>
      <c r="I195" s="38"/>
      <c r="J195" s="37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</row>
    <row r="196">
      <c r="A196" s="35"/>
      <c r="B196" s="37"/>
      <c r="C196" s="37"/>
      <c r="D196" s="35"/>
      <c r="E196" s="35"/>
      <c r="F196" s="35"/>
      <c r="G196" s="35"/>
      <c r="H196" s="35"/>
      <c r="I196" s="38"/>
      <c r="J196" s="37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</row>
    <row r="197">
      <c r="A197" s="35"/>
      <c r="B197" s="37"/>
      <c r="C197" s="37"/>
      <c r="D197" s="35"/>
      <c r="E197" s="35"/>
      <c r="F197" s="35"/>
      <c r="G197" s="35"/>
      <c r="H197" s="35"/>
      <c r="I197" s="38"/>
      <c r="J197" s="37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</row>
    <row r="198">
      <c r="A198" s="35"/>
      <c r="B198" s="37"/>
      <c r="C198" s="37"/>
      <c r="D198" s="35"/>
      <c r="E198" s="35"/>
      <c r="F198" s="35"/>
      <c r="G198" s="35"/>
      <c r="H198" s="35"/>
      <c r="I198" s="38"/>
      <c r="J198" s="37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</row>
    <row r="199">
      <c r="A199" s="35"/>
      <c r="B199" s="37"/>
      <c r="C199" s="37"/>
      <c r="D199" s="35"/>
      <c r="E199" s="35"/>
      <c r="F199" s="35"/>
      <c r="G199" s="35"/>
      <c r="H199" s="35"/>
      <c r="I199" s="38"/>
      <c r="J199" s="37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</row>
    <row r="200">
      <c r="A200" s="35"/>
      <c r="B200" s="37"/>
      <c r="C200" s="37"/>
      <c r="D200" s="35"/>
      <c r="E200" s="35"/>
      <c r="F200" s="35"/>
      <c r="G200" s="35"/>
      <c r="H200" s="35"/>
      <c r="I200" s="38"/>
      <c r="J200" s="37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</row>
    <row r="201">
      <c r="A201" s="35"/>
      <c r="B201" s="37"/>
      <c r="C201" s="37"/>
      <c r="D201" s="35"/>
      <c r="E201" s="35"/>
      <c r="F201" s="35"/>
      <c r="G201" s="35"/>
      <c r="H201" s="35"/>
      <c r="I201" s="38"/>
      <c r="J201" s="37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</row>
    <row r="202">
      <c r="A202" s="35"/>
      <c r="B202" s="37"/>
      <c r="C202" s="37"/>
      <c r="D202" s="35"/>
      <c r="E202" s="35"/>
      <c r="F202" s="35"/>
      <c r="G202" s="35"/>
      <c r="H202" s="35"/>
      <c r="I202" s="38"/>
      <c r="J202" s="37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</row>
    <row r="203">
      <c r="A203" s="35"/>
      <c r="B203" s="37"/>
      <c r="C203" s="37"/>
      <c r="D203" s="35"/>
      <c r="E203" s="35"/>
      <c r="F203" s="35"/>
      <c r="G203" s="35"/>
      <c r="H203" s="35"/>
      <c r="I203" s="38"/>
      <c r="J203" s="37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</row>
    <row r="204">
      <c r="A204" s="35"/>
      <c r="B204" s="37"/>
      <c r="C204" s="37"/>
      <c r="D204" s="35"/>
      <c r="E204" s="35"/>
      <c r="F204" s="35"/>
      <c r="G204" s="35"/>
      <c r="H204" s="35"/>
      <c r="I204" s="38"/>
      <c r="J204" s="37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</row>
    <row r="205">
      <c r="A205" s="35"/>
      <c r="B205" s="37"/>
      <c r="C205" s="37"/>
      <c r="D205" s="35"/>
      <c r="E205" s="35"/>
      <c r="F205" s="35"/>
      <c r="G205" s="35"/>
      <c r="H205" s="35"/>
      <c r="I205" s="38"/>
      <c r="J205" s="37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</row>
    <row r="206">
      <c r="A206" s="35"/>
      <c r="B206" s="37"/>
      <c r="C206" s="37"/>
      <c r="D206" s="35"/>
      <c r="E206" s="35"/>
      <c r="F206" s="35"/>
      <c r="G206" s="35"/>
      <c r="H206" s="35"/>
      <c r="I206" s="38"/>
      <c r="J206" s="37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</row>
    <row r="207">
      <c r="A207" s="35"/>
      <c r="B207" s="37"/>
      <c r="C207" s="37"/>
      <c r="D207" s="35"/>
      <c r="E207" s="35"/>
      <c r="F207" s="35"/>
      <c r="G207" s="35"/>
      <c r="H207" s="35"/>
      <c r="I207" s="38"/>
      <c r="J207" s="37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</row>
    <row r="208">
      <c r="A208" s="35"/>
      <c r="B208" s="37"/>
      <c r="C208" s="37"/>
      <c r="D208" s="35"/>
      <c r="E208" s="35"/>
      <c r="F208" s="35"/>
      <c r="G208" s="35"/>
      <c r="H208" s="35"/>
      <c r="I208" s="38"/>
      <c r="J208" s="37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</row>
    <row r="209">
      <c r="A209" s="35"/>
      <c r="B209" s="37"/>
      <c r="C209" s="37"/>
      <c r="D209" s="35"/>
      <c r="E209" s="35"/>
      <c r="F209" s="35"/>
      <c r="G209" s="35"/>
      <c r="H209" s="35"/>
      <c r="I209" s="38"/>
      <c r="J209" s="37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</row>
    <row r="210">
      <c r="A210" s="35"/>
      <c r="B210" s="37"/>
      <c r="C210" s="37"/>
      <c r="D210" s="35"/>
      <c r="E210" s="35"/>
      <c r="F210" s="35"/>
      <c r="G210" s="35"/>
      <c r="H210" s="35"/>
      <c r="I210" s="38"/>
      <c r="J210" s="37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</row>
    <row r="211">
      <c r="A211" s="35"/>
      <c r="B211" s="37"/>
      <c r="C211" s="37"/>
      <c r="D211" s="35"/>
      <c r="E211" s="35"/>
      <c r="F211" s="35"/>
      <c r="G211" s="35"/>
      <c r="H211" s="35"/>
      <c r="I211" s="38"/>
      <c r="J211" s="37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</row>
    <row r="212">
      <c r="A212" s="35"/>
      <c r="B212" s="37"/>
      <c r="C212" s="37"/>
      <c r="D212" s="35"/>
      <c r="E212" s="35"/>
      <c r="F212" s="35"/>
      <c r="G212" s="35"/>
      <c r="H212" s="35"/>
      <c r="I212" s="38"/>
      <c r="J212" s="37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</row>
    <row r="213">
      <c r="A213" s="35"/>
      <c r="B213" s="37"/>
      <c r="C213" s="37"/>
      <c r="D213" s="35"/>
      <c r="E213" s="35"/>
      <c r="F213" s="35"/>
      <c r="G213" s="35"/>
      <c r="H213" s="35"/>
      <c r="I213" s="38"/>
      <c r="J213" s="37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</row>
    <row r="214">
      <c r="A214" s="35"/>
      <c r="B214" s="37"/>
      <c r="C214" s="37"/>
      <c r="D214" s="35"/>
      <c r="E214" s="35"/>
      <c r="F214" s="35"/>
      <c r="G214" s="35"/>
      <c r="H214" s="35"/>
      <c r="I214" s="38"/>
      <c r="J214" s="37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</row>
    <row r="215">
      <c r="A215" s="35"/>
      <c r="B215" s="37"/>
      <c r="C215" s="37"/>
      <c r="D215" s="35"/>
      <c r="E215" s="35"/>
      <c r="F215" s="35"/>
      <c r="G215" s="35"/>
      <c r="H215" s="35"/>
      <c r="I215" s="38"/>
      <c r="J215" s="37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</row>
    <row r="216">
      <c r="A216" s="35"/>
      <c r="B216" s="37"/>
      <c r="C216" s="37"/>
      <c r="D216" s="35"/>
      <c r="E216" s="35"/>
      <c r="F216" s="35"/>
      <c r="G216" s="35"/>
      <c r="H216" s="35"/>
      <c r="I216" s="38"/>
      <c r="J216" s="37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</row>
    <row r="217">
      <c r="A217" s="35"/>
      <c r="B217" s="37"/>
      <c r="C217" s="37"/>
      <c r="D217" s="35"/>
      <c r="E217" s="35"/>
      <c r="F217" s="35"/>
      <c r="G217" s="35"/>
      <c r="H217" s="35"/>
      <c r="I217" s="38"/>
      <c r="J217" s="37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</row>
    <row r="218">
      <c r="A218" s="35"/>
      <c r="B218" s="37"/>
      <c r="C218" s="37"/>
      <c r="D218" s="35"/>
      <c r="E218" s="35"/>
      <c r="F218" s="35"/>
      <c r="G218" s="35"/>
      <c r="H218" s="35"/>
      <c r="I218" s="38"/>
      <c r="J218" s="37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</row>
    <row r="219">
      <c r="A219" s="35"/>
      <c r="B219" s="37"/>
      <c r="C219" s="37"/>
      <c r="D219" s="35"/>
      <c r="E219" s="35"/>
      <c r="F219" s="35"/>
      <c r="G219" s="35"/>
      <c r="H219" s="35"/>
      <c r="I219" s="38"/>
      <c r="J219" s="37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</row>
    <row r="220">
      <c r="A220" s="35"/>
      <c r="B220" s="37"/>
      <c r="C220" s="37"/>
      <c r="D220" s="35"/>
      <c r="E220" s="35"/>
      <c r="F220" s="35"/>
      <c r="G220" s="35"/>
      <c r="H220" s="35"/>
      <c r="I220" s="38"/>
      <c r="J220" s="37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</row>
    <row r="221">
      <c r="A221" s="35"/>
      <c r="B221" s="37"/>
      <c r="C221" s="37"/>
      <c r="D221" s="35"/>
      <c r="E221" s="35"/>
      <c r="F221" s="35"/>
      <c r="G221" s="35"/>
      <c r="H221" s="35"/>
      <c r="I221" s="38"/>
      <c r="J221" s="37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</row>
    <row r="222">
      <c r="A222" s="35"/>
      <c r="B222" s="37"/>
      <c r="C222" s="37"/>
      <c r="D222" s="35"/>
      <c r="E222" s="35"/>
      <c r="F222" s="35"/>
      <c r="G222" s="35"/>
      <c r="H222" s="35"/>
      <c r="I222" s="38"/>
      <c r="J222" s="37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</row>
    <row r="223">
      <c r="A223" s="35"/>
      <c r="B223" s="37"/>
      <c r="C223" s="37"/>
      <c r="D223" s="35"/>
      <c r="E223" s="35"/>
      <c r="F223" s="35"/>
      <c r="G223" s="35"/>
      <c r="H223" s="35"/>
      <c r="I223" s="38"/>
      <c r="J223" s="37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</row>
    <row r="224">
      <c r="A224" s="35"/>
      <c r="B224" s="37"/>
      <c r="C224" s="37"/>
      <c r="D224" s="35"/>
      <c r="E224" s="35"/>
      <c r="F224" s="35"/>
      <c r="G224" s="35"/>
      <c r="H224" s="35"/>
      <c r="I224" s="38"/>
      <c r="J224" s="37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</row>
    <row r="225">
      <c r="A225" s="35"/>
      <c r="B225" s="37"/>
      <c r="C225" s="37"/>
      <c r="D225" s="35"/>
      <c r="E225" s="35"/>
      <c r="F225" s="35"/>
      <c r="G225" s="35"/>
      <c r="H225" s="35"/>
      <c r="I225" s="38"/>
      <c r="J225" s="37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</row>
    <row r="226">
      <c r="A226" s="35"/>
      <c r="B226" s="37"/>
      <c r="C226" s="37"/>
      <c r="D226" s="35"/>
      <c r="E226" s="35"/>
      <c r="F226" s="35"/>
      <c r="G226" s="35"/>
      <c r="H226" s="35"/>
      <c r="I226" s="38"/>
      <c r="J226" s="37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</row>
    <row r="227">
      <c r="A227" s="35"/>
      <c r="B227" s="37"/>
      <c r="C227" s="37"/>
      <c r="D227" s="35"/>
      <c r="E227" s="35"/>
      <c r="F227" s="35"/>
      <c r="G227" s="35"/>
      <c r="H227" s="35"/>
      <c r="I227" s="38"/>
      <c r="J227" s="37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</row>
    <row r="228">
      <c r="A228" s="35"/>
      <c r="B228" s="37"/>
      <c r="C228" s="37"/>
      <c r="D228" s="35"/>
      <c r="E228" s="35"/>
      <c r="F228" s="35"/>
      <c r="G228" s="35"/>
      <c r="H228" s="35"/>
      <c r="I228" s="38"/>
      <c r="J228" s="37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</row>
    <row r="229">
      <c r="A229" s="35"/>
      <c r="B229" s="37"/>
      <c r="C229" s="37"/>
      <c r="D229" s="35"/>
      <c r="E229" s="35"/>
      <c r="F229" s="35"/>
      <c r="G229" s="35"/>
      <c r="H229" s="35"/>
      <c r="I229" s="38"/>
      <c r="J229" s="37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</row>
    <row r="230">
      <c r="A230" s="35"/>
      <c r="B230" s="37"/>
      <c r="C230" s="37"/>
      <c r="D230" s="35"/>
      <c r="E230" s="35"/>
      <c r="F230" s="35"/>
      <c r="G230" s="35"/>
      <c r="H230" s="35"/>
      <c r="I230" s="38"/>
      <c r="J230" s="37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</row>
    <row r="231">
      <c r="A231" s="35"/>
      <c r="B231" s="37"/>
      <c r="C231" s="37"/>
      <c r="D231" s="35"/>
      <c r="E231" s="35"/>
      <c r="F231" s="35"/>
      <c r="G231" s="35"/>
      <c r="H231" s="35"/>
      <c r="I231" s="38"/>
      <c r="J231" s="37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</row>
    <row r="232">
      <c r="A232" s="35"/>
      <c r="B232" s="37"/>
      <c r="C232" s="37"/>
      <c r="D232" s="35"/>
      <c r="E232" s="35"/>
      <c r="F232" s="35"/>
      <c r="G232" s="35"/>
      <c r="H232" s="35"/>
      <c r="I232" s="38"/>
      <c r="J232" s="37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</row>
    <row r="233">
      <c r="A233" s="35"/>
      <c r="B233" s="37"/>
      <c r="C233" s="37"/>
      <c r="D233" s="35"/>
      <c r="E233" s="35"/>
      <c r="F233" s="35"/>
      <c r="G233" s="35"/>
      <c r="H233" s="35"/>
      <c r="I233" s="38"/>
      <c r="J233" s="37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</row>
    <row r="234">
      <c r="A234" s="35"/>
      <c r="B234" s="37"/>
      <c r="C234" s="37"/>
      <c r="D234" s="35"/>
      <c r="E234" s="35"/>
      <c r="F234" s="35"/>
      <c r="G234" s="35"/>
      <c r="H234" s="35"/>
      <c r="I234" s="38"/>
      <c r="J234" s="37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</row>
    <row r="235">
      <c r="A235" s="35"/>
      <c r="B235" s="37"/>
      <c r="C235" s="37"/>
      <c r="D235" s="35"/>
      <c r="E235" s="35"/>
      <c r="F235" s="35"/>
      <c r="G235" s="35"/>
      <c r="H235" s="35"/>
      <c r="I235" s="38"/>
      <c r="J235" s="37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</row>
    <row r="236">
      <c r="A236" s="35"/>
      <c r="B236" s="37"/>
      <c r="C236" s="37"/>
      <c r="D236" s="35"/>
      <c r="E236" s="35"/>
      <c r="F236" s="35"/>
      <c r="G236" s="35"/>
      <c r="H236" s="35"/>
      <c r="I236" s="38"/>
      <c r="J236" s="37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</row>
    <row r="237">
      <c r="A237" s="35"/>
      <c r="B237" s="37"/>
      <c r="C237" s="37"/>
      <c r="D237" s="35"/>
      <c r="E237" s="35"/>
      <c r="F237" s="35"/>
      <c r="G237" s="35"/>
      <c r="H237" s="35"/>
      <c r="I237" s="38"/>
      <c r="J237" s="37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</row>
    <row r="238">
      <c r="A238" s="35"/>
      <c r="B238" s="37"/>
      <c r="C238" s="37"/>
      <c r="D238" s="35"/>
      <c r="E238" s="35"/>
      <c r="F238" s="35"/>
      <c r="G238" s="35"/>
      <c r="H238" s="35"/>
      <c r="I238" s="38"/>
      <c r="J238" s="37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</row>
    <row r="239">
      <c r="A239" s="35"/>
      <c r="B239" s="37"/>
      <c r="C239" s="37"/>
      <c r="D239" s="35"/>
      <c r="E239" s="35"/>
      <c r="F239" s="35"/>
      <c r="G239" s="35"/>
      <c r="H239" s="35"/>
      <c r="I239" s="38"/>
      <c r="J239" s="37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</row>
    <row r="240">
      <c r="A240" s="35"/>
      <c r="B240" s="37"/>
      <c r="C240" s="37"/>
      <c r="D240" s="35"/>
      <c r="E240" s="35"/>
      <c r="F240" s="35"/>
      <c r="G240" s="35"/>
      <c r="H240" s="35"/>
      <c r="I240" s="38"/>
      <c r="J240" s="37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</row>
    <row r="241">
      <c r="A241" s="35"/>
      <c r="B241" s="37"/>
      <c r="C241" s="37"/>
      <c r="D241" s="35"/>
      <c r="E241" s="35"/>
      <c r="F241" s="35"/>
      <c r="G241" s="35"/>
      <c r="H241" s="35"/>
      <c r="I241" s="38"/>
      <c r="J241" s="37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</row>
    <row r="242">
      <c r="A242" s="35"/>
      <c r="B242" s="37"/>
      <c r="C242" s="37"/>
      <c r="D242" s="35"/>
      <c r="E242" s="35"/>
      <c r="F242" s="35"/>
      <c r="G242" s="35"/>
      <c r="H242" s="35"/>
      <c r="I242" s="38"/>
      <c r="J242" s="37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>
      <c r="A243" s="35"/>
      <c r="B243" s="37"/>
      <c r="C243" s="37"/>
      <c r="D243" s="35"/>
      <c r="E243" s="35"/>
      <c r="F243" s="35"/>
      <c r="G243" s="35"/>
      <c r="H243" s="35"/>
      <c r="I243" s="38"/>
      <c r="J243" s="37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</row>
    <row r="244">
      <c r="A244" s="35"/>
      <c r="B244" s="37"/>
      <c r="C244" s="37"/>
      <c r="D244" s="35"/>
      <c r="E244" s="35"/>
      <c r="F244" s="35"/>
      <c r="G244" s="35"/>
      <c r="H244" s="35"/>
      <c r="I244" s="38"/>
      <c r="J244" s="37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>
      <c r="A245" s="35"/>
      <c r="B245" s="37"/>
      <c r="C245" s="37"/>
      <c r="D245" s="35"/>
      <c r="E245" s="35"/>
      <c r="F245" s="35"/>
      <c r="G245" s="35"/>
      <c r="H245" s="35"/>
      <c r="I245" s="38"/>
      <c r="J245" s="37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</row>
    <row r="246">
      <c r="A246" s="35"/>
      <c r="B246" s="37"/>
      <c r="C246" s="37"/>
      <c r="D246" s="35"/>
      <c r="E246" s="35"/>
      <c r="F246" s="35"/>
      <c r="G246" s="35"/>
      <c r="H246" s="35"/>
      <c r="I246" s="38"/>
      <c r="J246" s="37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</row>
    <row r="247">
      <c r="A247" s="35"/>
      <c r="B247" s="37"/>
      <c r="C247" s="37"/>
      <c r="D247" s="35"/>
      <c r="E247" s="35"/>
      <c r="F247" s="35"/>
      <c r="G247" s="35"/>
      <c r="H247" s="35"/>
      <c r="I247" s="38"/>
      <c r="J247" s="37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</row>
    <row r="248">
      <c r="A248" s="35"/>
      <c r="B248" s="37"/>
      <c r="C248" s="37"/>
      <c r="D248" s="35"/>
      <c r="E248" s="35"/>
      <c r="F248" s="35"/>
      <c r="G248" s="35"/>
      <c r="H248" s="35"/>
      <c r="I248" s="38"/>
      <c r="J248" s="37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>
      <c r="A249" s="35"/>
      <c r="B249" s="37"/>
      <c r="C249" s="37"/>
      <c r="D249" s="35"/>
      <c r="E249" s="35"/>
      <c r="F249" s="35"/>
      <c r="G249" s="35"/>
      <c r="H249" s="35"/>
      <c r="I249" s="38"/>
      <c r="J249" s="37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>
      <c r="A250" s="35"/>
      <c r="B250" s="37"/>
      <c r="C250" s="37"/>
      <c r="D250" s="35"/>
      <c r="E250" s="35"/>
      <c r="F250" s="35"/>
      <c r="G250" s="35"/>
      <c r="H250" s="35"/>
      <c r="I250" s="38"/>
      <c r="J250" s="37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</row>
    <row r="251">
      <c r="A251" s="35"/>
      <c r="B251" s="37"/>
      <c r="C251" s="37"/>
      <c r="D251" s="35"/>
      <c r="E251" s="35"/>
      <c r="F251" s="35"/>
      <c r="G251" s="35"/>
      <c r="H251" s="35"/>
      <c r="I251" s="38"/>
      <c r="J251" s="37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</row>
    <row r="252">
      <c r="A252" s="35"/>
      <c r="B252" s="37"/>
      <c r="C252" s="37"/>
      <c r="D252" s="35"/>
      <c r="E252" s="35"/>
      <c r="F252" s="35"/>
      <c r="G252" s="35"/>
      <c r="H252" s="35"/>
      <c r="I252" s="38"/>
      <c r="J252" s="37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</row>
    <row r="253">
      <c r="A253" s="35"/>
      <c r="B253" s="37"/>
      <c r="C253" s="37"/>
      <c r="D253" s="35"/>
      <c r="E253" s="35"/>
      <c r="F253" s="35"/>
      <c r="G253" s="35"/>
      <c r="H253" s="35"/>
      <c r="I253" s="38"/>
      <c r="J253" s="37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</row>
    <row r="254">
      <c r="A254" s="35"/>
      <c r="B254" s="37"/>
      <c r="C254" s="37"/>
      <c r="D254" s="35"/>
      <c r="E254" s="35"/>
      <c r="F254" s="35"/>
      <c r="G254" s="35"/>
      <c r="H254" s="35"/>
      <c r="I254" s="38"/>
      <c r="J254" s="37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</row>
    <row r="255">
      <c r="A255" s="35"/>
      <c r="B255" s="37"/>
      <c r="C255" s="37"/>
      <c r="D255" s="35"/>
      <c r="E255" s="35"/>
      <c r="F255" s="35"/>
      <c r="G255" s="35"/>
      <c r="H255" s="35"/>
      <c r="I255" s="38"/>
      <c r="J255" s="37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</row>
    <row r="256">
      <c r="A256" s="35"/>
      <c r="B256" s="37"/>
      <c r="C256" s="37"/>
      <c r="D256" s="35"/>
      <c r="E256" s="35"/>
      <c r="F256" s="35"/>
      <c r="G256" s="35"/>
      <c r="H256" s="35"/>
      <c r="I256" s="38"/>
      <c r="J256" s="37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</row>
    <row r="257">
      <c r="A257" s="35"/>
      <c r="B257" s="37"/>
      <c r="C257" s="37"/>
      <c r="D257" s="35"/>
      <c r="E257" s="35"/>
      <c r="F257" s="35"/>
      <c r="G257" s="35"/>
      <c r="H257" s="35"/>
      <c r="I257" s="38"/>
      <c r="J257" s="37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</row>
    <row r="258">
      <c r="A258" s="35"/>
      <c r="B258" s="37"/>
      <c r="C258" s="37"/>
      <c r="D258" s="35"/>
      <c r="E258" s="35"/>
      <c r="F258" s="35"/>
      <c r="G258" s="35"/>
      <c r="H258" s="35"/>
      <c r="I258" s="38"/>
      <c r="J258" s="37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</row>
    <row r="259">
      <c r="A259" s="35"/>
      <c r="B259" s="37"/>
      <c r="C259" s="37"/>
      <c r="D259" s="35"/>
      <c r="E259" s="35"/>
      <c r="F259" s="35"/>
      <c r="G259" s="35"/>
      <c r="H259" s="35"/>
      <c r="I259" s="38"/>
      <c r="J259" s="37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</row>
    <row r="260">
      <c r="A260" s="35"/>
      <c r="B260" s="37"/>
      <c r="C260" s="37"/>
      <c r="D260" s="35"/>
      <c r="E260" s="35"/>
      <c r="F260" s="35"/>
      <c r="G260" s="35"/>
      <c r="H260" s="35"/>
      <c r="I260" s="38"/>
      <c r="J260" s="37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</row>
    <row r="261">
      <c r="A261" s="35"/>
      <c r="B261" s="37"/>
      <c r="C261" s="37"/>
      <c r="D261" s="35"/>
      <c r="E261" s="35"/>
      <c r="F261" s="35"/>
      <c r="G261" s="35"/>
      <c r="H261" s="35"/>
      <c r="I261" s="38"/>
      <c r="J261" s="37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</row>
    <row r="262">
      <c r="A262" s="35"/>
      <c r="B262" s="37"/>
      <c r="C262" s="37"/>
      <c r="D262" s="35"/>
      <c r="E262" s="35"/>
      <c r="F262" s="35"/>
      <c r="G262" s="35"/>
      <c r="H262" s="35"/>
      <c r="I262" s="38"/>
      <c r="J262" s="37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</row>
    <row r="263">
      <c r="A263" s="35"/>
      <c r="B263" s="37"/>
      <c r="C263" s="37"/>
      <c r="D263" s="35"/>
      <c r="E263" s="35"/>
      <c r="F263" s="35"/>
      <c r="G263" s="35"/>
      <c r="H263" s="35"/>
      <c r="I263" s="38"/>
      <c r="J263" s="37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</row>
    <row r="264">
      <c r="A264" s="35"/>
      <c r="B264" s="37"/>
      <c r="C264" s="37"/>
      <c r="D264" s="35"/>
      <c r="E264" s="35"/>
      <c r="F264" s="35"/>
      <c r="G264" s="35"/>
      <c r="H264" s="35"/>
      <c r="I264" s="38"/>
      <c r="J264" s="37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</row>
    <row r="265">
      <c r="A265" s="35"/>
      <c r="B265" s="37"/>
      <c r="C265" s="37"/>
      <c r="D265" s="35"/>
      <c r="E265" s="35"/>
      <c r="F265" s="35"/>
      <c r="G265" s="35"/>
      <c r="H265" s="35"/>
      <c r="I265" s="38"/>
      <c r="J265" s="37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</row>
    <row r="266">
      <c r="A266" s="35"/>
      <c r="B266" s="37"/>
      <c r="C266" s="37"/>
      <c r="D266" s="35"/>
      <c r="E266" s="35"/>
      <c r="F266" s="35"/>
      <c r="G266" s="35"/>
      <c r="H266" s="35"/>
      <c r="I266" s="38"/>
      <c r="J266" s="37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</row>
    <row r="267">
      <c r="A267" s="35"/>
      <c r="B267" s="37"/>
      <c r="C267" s="37"/>
      <c r="D267" s="35"/>
      <c r="E267" s="35"/>
      <c r="F267" s="35"/>
      <c r="G267" s="35"/>
      <c r="H267" s="35"/>
      <c r="I267" s="38"/>
      <c r="J267" s="37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</row>
    <row r="268">
      <c r="A268" s="35"/>
      <c r="B268" s="37"/>
      <c r="C268" s="37"/>
      <c r="D268" s="35"/>
      <c r="E268" s="35"/>
      <c r="F268" s="35"/>
      <c r="G268" s="35"/>
      <c r="H268" s="35"/>
      <c r="I268" s="38"/>
      <c r="J268" s="37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</row>
    <row r="269">
      <c r="A269" s="35"/>
      <c r="B269" s="37"/>
      <c r="C269" s="37"/>
      <c r="D269" s="35"/>
      <c r="E269" s="35"/>
      <c r="F269" s="35"/>
      <c r="G269" s="35"/>
      <c r="H269" s="35"/>
      <c r="I269" s="38"/>
      <c r="J269" s="37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</row>
    <row r="270">
      <c r="A270" s="35"/>
      <c r="B270" s="37"/>
      <c r="C270" s="37"/>
      <c r="D270" s="35"/>
      <c r="E270" s="35"/>
      <c r="F270" s="35"/>
      <c r="G270" s="35"/>
      <c r="H270" s="35"/>
      <c r="I270" s="38"/>
      <c r="J270" s="37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</row>
    <row r="271">
      <c r="A271" s="35"/>
      <c r="B271" s="37"/>
      <c r="C271" s="37"/>
      <c r="D271" s="35"/>
      <c r="E271" s="35"/>
      <c r="F271" s="35"/>
      <c r="G271" s="35"/>
      <c r="H271" s="35"/>
      <c r="I271" s="38"/>
      <c r="J271" s="37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</row>
    <row r="272">
      <c r="A272" s="35"/>
      <c r="B272" s="37"/>
      <c r="C272" s="37"/>
      <c r="D272" s="35"/>
      <c r="E272" s="35"/>
      <c r="F272" s="35"/>
      <c r="G272" s="35"/>
      <c r="H272" s="35"/>
      <c r="I272" s="38"/>
      <c r="J272" s="37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</row>
    <row r="273">
      <c r="A273" s="35"/>
      <c r="B273" s="37"/>
      <c r="C273" s="37"/>
      <c r="D273" s="35"/>
      <c r="E273" s="35"/>
      <c r="F273" s="35"/>
      <c r="G273" s="35"/>
      <c r="H273" s="35"/>
      <c r="I273" s="38"/>
      <c r="J273" s="37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</row>
    <row r="274">
      <c r="A274" s="35"/>
      <c r="B274" s="37"/>
      <c r="C274" s="37"/>
      <c r="D274" s="35"/>
      <c r="E274" s="35"/>
      <c r="F274" s="35"/>
      <c r="G274" s="35"/>
      <c r="H274" s="35"/>
      <c r="I274" s="38"/>
      <c r="J274" s="37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</row>
    <row r="275">
      <c r="A275" s="35"/>
      <c r="B275" s="37"/>
      <c r="C275" s="37"/>
      <c r="D275" s="35"/>
      <c r="E275" s="35"/>
      <c r="F275" s="35"/>
      <c r="G275" s="35"/>
      <c r="H275" s="35"/>
      <c r="I275" s="38"/>
      <c r="J275" s="37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</row>
    <row r="276">
      <c r="A276" s="35"/>
      <c r="B276" s="37"/>
      <c r="C276" s="37"/>
      <c r="D276" s="35"/>
      <c r="E276" s="35"/>
      <c r="F276" s="35"/>
      <c r="G276" s="35"/>
      <c r="H276" s="35"/>
      <c r="I276" s="38"/>
      <c r="J276" s="37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</row>
    <row r="277">
      <c r="A277" s="35"/>
      <c r="B277" s="37"/>
      <c r="C277" s="37"/>
      <c r="D277" s="35"/>
      <c r="E277" s="35"/>
      <c r="F277" s="35"/>
      <c r="G277" s="35"/>
      <c r="H277" s="35"/>
      <c r="I277" s="38"/>
      <c r="J277" s="37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</row>
    <row r="278">
      <c r="A278" s="35"/>
      <c r="B278" s="37"/>
      <c r="C278" s="37"/>
      <c r="D278" s="35"/>
      <c r="E278" s="35"/>
      <c r="F278" s="35"/>
      <c r="G278" s="35"/>
      <c r="H278" s="35"/>
      <c r="I278" s="38"/>
      <c r="J278" s="37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</row>
    <row r="279">
      <c r="A279" s="35"/>
      <c r="B279" s="37"/>
      <c r="C279" s="37"/>
      <c r="D279" s="35"/>
      <c r="E279" s="35"/>
      <c r="F279" s="35"/>
      <c r="G279" s="35"/>
      <c r="H279" s="35"/>
      <c r="I279" s="38"/>
      <c r="J279" s="37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</row>
    <row r="280">
      <c r="A280" s="35"/>
      <c r="B280" s="37"/>
      <c r="C280" s="37"/>
      <c r="D280" s="35"/>
      <c r="E280" s="35"/>
      <c r="F280" s="35"/>
      <c r="G280" s="35"/>
      <c r="H280" s="35"/>
      <c r="I280" s="38"/>
      <c r="J280" s="37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</row>
    <row r="281">
      <c r="A281" s="35"/>
      <c r="B281" s="37"/>
      <c r="C281" s="37"/>
      <c r="D281" s="35"/>
      <c r="E281" s="35"/>
      <c r="F281" s="35"/>
      <c r="G281" s="35"/>
      <c r="H281" s="35"/>
      <c r="I281" s="38"/>
      <c r="J281" s="37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</row>
    <row r="282">
      <c r="A282" s="35"/>
      <c r="B282" s="37"/>
      <c r="C282" s="37"/>
      <c r="D282" s="35"/>
      <c r="E282" s="35"/>
      <c r="F282" s="35"/>
      <c r="G282" s="35"/>
      <c r="H282" s="35"/>
      <c r="I282" s="38"/>
      <c r="J282" s="37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</row>
    <row r="283">
      <c r="A283" s="35"/>
      <c r="B283" s="37"/>
      <c r="C283" s="37"/>
      <c r="D283" s="35"/>
      <c r="E283" s="35"/>
      <c r="F283" s="35"/>
      <c r="G283" s="35"/>
      <c r="H283" s="35"/>
      <c r="I283" s="38"/>
      <c r="J283" s="37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</row>
    <row r="284">
      <c r="A284" s="35"/>
      <c r="B284" s="37"/>
      <c r="C284" s="37"/>
      <c r="D284" s="35"/>
      <c r="E284" s="35"/>
      <c r="F284" s="35"/>
      <c r="G284" s="35"/>
      <c r="H284" s="35"/>
      <c r="I284" s="38"/>
      <c r="J284" s="37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</row>
    <row r="285">
      <c r="A285" s="35"/>
      <c r="B285" s="37"/>
      <c r="C285" s="37"/>
      <c r="D285" s="35"/>
      <c r="E285" s="35"/>
      <c r="F285" s="35"/>
      <c r="G285" s="35"/>
      <c r="H285" s="35"/>
      <c r="I285" s="38"/>
      <c r="J285" s="37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</row>
    <row r="286">
      <c r="A286" s="35"/>
      <c r="B286" s="37"/>
      <c r="C286" s="37"/>
      <c r="D286" s="35"/>
      <c r="E286" s="35"/>
      <c r="F286" s="35"/>
      <c r="G286" s="35"/>
      <c r="H286" s="35"/>
      <c r="I286" s="38"/>
      <c r="J286" s="37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</row>
    <row r="287">
      <c r="A287" s="35"/>
      <c r="B287" s="37"/>
      <c r="C287" s="37"/>
      <c r="D287" s="35"/>
      <c r="E287" s="35"/>
      <c r="F287" s="35"/>
      <c r="G287" s="35"/>
      <c r="H287" s="35"/>
      <c r="I287" s="38"/>
      <c r="J287" s="37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</row>
    <row r="288">
      <c r="A288" s="35"/>
      <c r="B288" s="37"/>
      <c r="C288" s="37"/>
      <c r="D288" s="35"/>
      <c r="E288" s="35"/>
      <c r="F288" s="35"/>
      <c r="G288" s="35"/>
      <c r="H288" s="35"/>
      <c r="I288" s="38"/>
      <c r="J288" s="37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</row>
    <row r="289">
      <c r="A289" s="35"/>
      <c r="B289" s="37"/>
      <c r="C289" s="37"/>
      <c r="D289" s="35"/>
      <c r="E289" s="35"/>
      <c r="F289" s="35"/>
      <c r="G289" s="35"/>
      <c r="H289" s="35"/>
      <c r="I289" s="38"/>
      <c r="J289" s="37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</row>
    <row r="290">
      <c r="A290" s="35"/>
      <c r="B290" s="37"/>
      <c r="C290" s="37"/>
      <c r="D290" s="35"/>
      <c r="E290" s="35"/>
      <c r="F290" s="35"/>
      <c r="G290" s="35"/>
      <c r="H290" s="35"/>
      <c r="I290" s="38"/>
      <c r="J290" s="37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</row>
    <row r="291">
      <c r="A291" s="35"/>
      <c r="B291" s="37"/>
      <c r="C291" s="37"/>
      <c r="D291" s="35"/>
      <c r="E291" s="35"/>
      <c r="F291" s="35"/>
      <c r="G291" s="35"/>
      <c r="H291" s="35"/>
      <c r="I291" s="38"/>
      <c r="J291" s="37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</row>
    <row r="292">
      <c r="A292" s="35"/>
      <c r="B292" s="37"/>
      <c r="C292" s="37"/>
      <c r="D292" s="35"/>
      <c r="E292" s="35"/>
      <c r="F292" s="35"/>
      <c r="G292" s="35"/>
      <c r="H292" s="35"/>
      <c r="I292" s="38"/>
      <c r="J292" s="37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</row>
    <row r="293">
      <c r="A293" s="35"/>
      <c r="B293" s="37"/>
      <c r="C293" s="37"/>
      <c r="D293" s="35"/>
      <c r="E293" s="35"/>
      <c r="F293" s="35"/>
      <c r="G293" s="35"/>
      <c r="H293" s="35"/>
      <c r="I293" s="38"/>
      <c r="J293" s="37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</row>
    <row r="294">
      <c r="A294" s="35"/>
      <c r="B294" s="37"/>
      <c r="C294" s="37"/>
      <c r="D294" s="35"/>
      <c r="E294" s="35"/>
      <c r="F294" s="35"/>
      <c r="G294" s="35"/>
      <c r="H294" s="35"/>
      <c r="I294" s="38"/>
      <c r="J294" s="37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</row>
    <row r="295">
      <c r="A295" s="35"/>
      <c r="B295" s="37"/>
      <c r="C295" s="37"/>
      <c r="D295" s="35"/>
      <c r="E295" s="35"/>
      <c r="F295" s="35"/>
      <c r="G295" s="35"/>
      <c r="H295" s="35"/>
      <c r="I295" s="38"/>
      <c r="J295" s="37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</row>
    <row r="296">
      <c r="A296" s="35"/>
      <c r="B296" s="37"/>
      <c r="C296" s="37"/>
      <c r="D296" s="35"/>
      <c r="E296" s="35"/>
      <c r="F296" s="35"/>
      <c r="G296" s="35"/>
      <c r="H296" s="35"/>
      <c r="I296" s="38"/>
      <c r="J296" s="37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</row>
    <row r="297">
      <c r="A297" s="35"/>
      <c r="B297" s="37"/>
      <c r="C297" s="37"/>
      <c r="D297" s="35"/>
      <c r="E297" s="35"/>
      <c r="F297" s="35"/>
      <c r="G297" s="35"/>
      <c r="H297" s="35"/>
      <c r="I297" s="38"/>
      <c r="J297" s="37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</row>
    <row r="298">
      <c r="A298" s="35"/>
      <c r="B298" s="37"/>
      <c r="C298" s="37"/>
      <c r="D298" s="35"/>
      <c r="E298" s="35"/>
      <c r="F298" s="35"/>
      <c r="G298" s="35"/>
      <c r="H298" s="35"/>
      <c r="I298" s="38"/>
      <c r="J298" s="37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</row>
    <row r="299">
      <c r="A299" s="35"/>
      <c r="B299" s="37"/>
      <c r="C299" s="37"/>
      <c r="D299" s="35"/>
      <c r="E299" s="35"/>
      <c r="F299" s="35"/>
      <c r="G299" s="35"/>
      <c r="H299" s="35"/>
      <c r="I299" s="38"/>
      <c r="J299" s="37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</row>
    <row r="300">
      <c r="A300" s="35"/>
      <c r="B300" s="37"/>
      <c r="C300" s="37"/>
      <c r="D300" s="35"/>
      <c r="E300" s="35"/>
      <c r="F300" s="35"/>
      <c r="G300" s="35"/>
      <c r="H300" s="35"/>
      <c r="I300" s="38"/>
      <c r="J300" s="37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</row>
    <row r="301">
      <c r="A301" s="35"/>
      <c r="B301" s="37"/>
      <c r="C301" s="37"/>
      <c r="D301" s="35"/>
      <c r="E301" s="35"/>
      <c r="F301" s="35"/>
      <c r="G301" s="35"/>
      <c r="H301" s="35"/>
      <c r="I301" s="38"/>
      <c r="J301" s="37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</row>
    <row r="302">
      <c r="A302" s="35"/>
      <c r="B302" s="37"/>
      <c r="C302" s="37"/>
      <c r="D302" s="35"/>
      <c r="E302" s="35"/>
      <c r="F302" s="35"/>
      <c r="G302" s="35"/>
      <c r="H302" s="35"/>
      <c r="I302" s="38"/>
      <c r="J302" s="37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</row>
    <row r="303">
      <c r="A303" s="35"/>
      <c r="B303" s="37"/>
      <c r="C303" s="37"/>
      <c r="D303" s="35"/>
      <c r="E303" s="35"/>
      <c r="F303" s="35"/>
      <c r="G303" s="35"/>
      <c r="H303" s="35"/>
      <c r="I303" s="38"/>
      <c r="J303" s="37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</row>
    <row r="304">
      <c r="A304" s="35"/>
      <c r="B304" s="37"/>
      <c r="C304" s="37"/>
      <c r="D304" s="35"/>
      <c r="E304" s="35"/>
      <c r="F304" s="35"/>
      <c r="G304" s="35"/>
      <c r="H304" s="35"/>
      <c r="I304" s="38"/>
      <c r="J304" s="37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</row>
    <row r="305">
      <c r="A305" s="35"/>
      <c r="B305" s="37"/>
      <c r="C305" s="37"/>
      <c r="D305" s="35"/>
      <c r="E305" s="35"/>
      <c r="F305" s="35"/>
      <c r="G305" s="35"/>
      <c r="H305" s="35"/>
      <c r="I305" s="38"/>
      <c r="J305" s="37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</row>
    <row r="306">
      <c r="A306" s="35"/>
      <c r="B306" s="37"/>
      <c r="C306" s="37"/>
      <c r="D306" s="35"/>
      <c r="E306" s="35"/>
      <c r="F306" s="35"/>
      <c r="G306" s="35"/>
      <c r="H306" s="35"/>
      <c r="I306" s="38"/>
      <c r="J306" s="37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</row>
    <row r="307">
      <c r="A307" s="35"/>
      <c r="B307" s="37"/>
      <c r="C307" s="37"/>
      <c r="D307" s="35"/>
      <c r="E307" s="35"/>
      <c r="F307" s="35"/>
      <c r="G307" s="35"/>
      <c r="H307" s="35"/>
      <c r="I307" s="38"/>
      <c r="J307" s="37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</row>
    <row r="308">
      <c r="A308" s="35"/>
      <c r="B308" s="37"/>
      <c r="C308" s="37"/>
      <c r="D308" s="35"/>
      <c r="E308" s="35"/>
      <c r="F308" s="35"/>
      <c r="G308" s="35"/>
      <c r="H308" s="35"/>
      <c r="I308" s="38"/>
      <c r="J308" s="37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</row>
    <row r="309">
      <c r="A309" s="35"/>
      <c r="B309" s="37"/>
      <c r="C309" s="37"/>
      <c r="D309" s="35"/>
      <c r="E309" s="35"/>
      <c r="F309" s="35"/>
      <c r="G309" s="35"/>
      <c r="H309" s="35"/>
      <c r="I309" s="38"/>
      <c r="J309" s="37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</row>
    <row r="310">
      <c r="A310" s="35"/>
      <c r="B310" s="37"/>
      <c r="C310" s="37"/>
      <c r="D310" s="35"/>
      <c r="E310" s="35"/>
      <c r="F310" s="35"/>
      <c r="G310" s="35"/>
      <c r="H310" s="35"/>
      <c r="I310" s="38"/>
      <c r="J310" s="37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</row>
    <row r="311">
      <c r="A311" s="35"/>
      <c r="B311" s="37"/>
      <c r="C311" s="37"/>
      <c r="D311" s="35"/>
      <c r="E311" s="35"/>
      <c r="F311" s="35"/>
      <c r="G311" s="35"/>
      <c r="H311" s="35"/>
      <c r="I311" s="38"/>
      <c r="J311" s="37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</row>
    <row r="312">
      <c r="A312" s="35"/>
      <c r="B312" s="37"/>
      <c r="C312" s="37"/>
      <c r="D312" s="35"/>
      <c r="E312" s="35"/>
      <c r="F312" s="35"/>
      <c r="G312" s="35"/>
      <c r="H312" s="35"/>
      <c r="I312" s="38"/>
      <c r="J312" s="37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</row>
    <row r="313">
      <c r="A313" s="35"/>
      <c r="B313" s="37"/>
      <c r="C313" s="37"/>
      <c r="D313" s="35"/>
      <c r="E313" s="35"/>
      <c r="F313" s="35"/>
      <c r="G313" s="35"/>
      <c r="H313" s="35"/>
      <c r="I313" s="38"/>
      <c r="J313" s="37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</row>
    <row r="314">
      <c r="A314" s="35"/>
      <c r="B314" s="37"/>
      <c r="C314" s="37"/>
      <c r="D314" s="35"/>
      <c r="E314" s="35"/>
      <c r="F314" s="35"/>
      <c r="G314" s="35"/>
      <c r="H314" s="35"/>
      <c r="I314" s="38"/>
      <c r="J314" s="37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</row>
    <row r="315">
      <c r="A315" s="35"/>
      <c r="B315" s="37"/>
      <c r="C315" s="37"/>
      <c r="D315" s="35"/>
      <c r="E315" s="35"/>
      <c r="F315" s="35"/>
      <c r="G315" s="35"/>
      <c r="H315" s="35"/>
      <c r="I315" s="38"/>
      <c r="J315" s="37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</row>
    <row r="316">
      <c r="A316" s="35"/>
      <c r="B316" s="37"/>
      <c r="C316" s="37"/>
      <c r="D316" s="35"/>
      <c r="E316" s="35"/>
      <c r="F316" s="35"/>
      <c r="G316" s="35"/>
      <c r="H316" s="35"/>
      <c r="I316" s="38"/>
      <c r="J316" s="37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</row>
    <row r="317">
      <c r="A317" s="35"/>
      <c r="B317" s="37"/>
      <c r="C317" s="37"/>
      <c r="D317" s="35"/>
      <c r="E317" s="35"/>
      <c r="F317" s="35"/>
      <c r="G317" s="35"/>
      <c r="H317" s="35"/>
      <c r="I317" s="38"/>
      <c r="J317" s="37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</row>
    <row r="318">
      <c r="A318" s="35"/>
      <c r="B318" s="37"/>
      <c r="C318" s="37"/>
      <c r="D318" s="35"/>
      <c r="E318" s="35"/>
      <c r="F318" s="35"/>
      <c r="G318" s="35"/>
      <c r="H318" s="35"/>
      <c r="I318" s="38"/>
      <c r="J318" s="37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</row>
    <row r="319">
      <c r="A319" s="35"/>
      <c r="B319" s="37"/>
      <c r="C319" s="37"/>
      <c r="D319" s="35"/>
      <c r="E319" s="35"/>
      <c r="F319" s="35"/>
      <c r="G319" s="35"/>
      <c r="H319" s="35"/>
      <c r="I319" s="38"/>
      <c r="J319" s="37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</row>
    <row r="320">
      <c r="A320" s="35"/>
      <c r="B320" s="37"/>
      <c r="C320" s="37"/>
      <c r="D320" s="35"/>
      <c r="E320" s="35"/>
      <c r="F320" s="35"/>
      <c r="G320" s="35"/>
      <c r="H320" s="35"/>
      <c r="I320" s="38"/>
      <c r="J320" s="37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</row>
    <row r="321">
      <c r="A321" s="35"/>
      <c r="B321" s="37"/>
      <c r="C321" s="37"/>
      <c r="D321" s="35"/>
      <c r="E321" s="35"/>
      <c r="F321" s="35"/>
      <c r="G321" s="35"/>
      <c r="H321" s="35"/>
      <c r="I321" s="38"/>
      <c r="J321" s="37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</row>
    <row r="322">
      <c r="A322" s="35"/>
      <c r="B322" s="37"/>
      <c r="C322" s="37"/>
      <c r="D322" s="35"/>
      <c r="E322" s="35"/>
      <c r="F322" s="35"/>
      <c r="G322" s="35"/>
      <c r="H322" s="35"/>
      <c r="I322" s="38"/>
      <c r="J322" s="37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</row>
    <row r="323">
      <c r="A323" s="35"/>
      <c r="B323" s="37"/>
      <c r="C323" s="37"/>
      <c r="D323" s="35"/>
      <c r="E323" s="35"/>
      <c r="F323" s="35"/>
      <c r="G323" s="35"/>
      <c r="H323" s="35"/>
      <c r="I323" s="38"/>
      <c r="J323" s="37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</row>
    <row r="324">
      <c r="A324" s="35"/>
      <c r="B324" s="37"/>
      <c r="C324" s="37"/>
      <c r="D324" s="35"/>
      <c r="E324" s="35"/>
      <c r="F324" s="35"/>
      <c r="G324" s="35"/>
      <c r="H324" s="35"/>
      <c r="I324" s="38"/>
      <c r="J324" s="37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</row>
    <row r="325">
      <c r="A325" s="35"/>
      <c r="B325" s="37"/>
      <c r="C325" s="37"/>
      <c r="D325" s="35"/>
      <c r="E325" s="35"/>
      <c r="F325" s="35"/>
      <c r="G325" s="35"/>
      <c r="H325" s="35"/>
      <c r="I325" s="38"/>
      <c r="J325" s="37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</row>
    <row r="326">
      <c r="A326" s="35"/>
      <c r="B326" s="37"/>
      <c r="C326" s="37"/>
      <c r="D326" s="35"/>
      <c r="E326" s="35"/>
      <c r="F326" s="35"/>
      <c r="G326" s="35"/>
      <c r="H326" s="35"/>
      <c r="I326" s="38"/>
      <c r="J326" s="37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</row>
    <row r="327">
      <c r="A327" s="35"/>
      <c r="B327" s="37"/>
      <c r="C327" s="37"/>
      <c r="D327" s="35"/>
      <c r="E327" s="35"/>
      <c r="F327" s="35"/>
      <c r="G327" s="35"/>
      <c r="H327" s="35"/>
      <c r="I327" s="38"/>
      <c r="J327" s="37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</row>
    <row r="328">
      <c r="A328" s="35"/>
      <c r="B328" s="37"/>
      <c r="C328" s="37"/>
      <c r="D328" s="35"/>
      <c r="E328" s="35"/>
      <c r="F328" s="35"/>
      <c r="G328" s="35"/>
      <c r="H328" s="35"/>
      <c r="I328" s="38"/>
      <c r="J328" s="37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</row>
    <row r="329">
      <c r="A329" s="35"/>
      <c r="B329" s="37"/>
      <c r="C329" s="37"/>
      <c r="D329" s="35"/>
      <c r="E329" s="35"/>
      <c r="F329" s="35"/>
      <c r="G329" s="35"/>
      <c r="H329" s="35"/>
      <c r="I329" s="38"/>
      <c r="J329" s="37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</row>
    <row r="330">
      <c r="A330" s="35"/>
      <c r="B330" s="37"/>
      <c r="C330" s="37"/>
      <c r="D330" s="35"/>
      <c r="E330" s="35"/>
      <c r="F330" s="35"/>
      <c r="G330" s="35"/>
      <c r="H330" s="35"/>
      <c r="I330" s="38"/>
      <c r="J330" s="37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</row>
    <row r="331">
      <c r="A331" s="35"/>
      <c r="B331" s="37"/>
      <c r="C331" s="37"/>
      <c r="D331" s="35"/>
      <c r="E331" s="35"/>
      <c r="F331" s="35"/>
      <c r="G331" s="35"/>
      <c r="H331" s="35"/>
      <c r="I331" s="38"/>
      <c r="J331" s="37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</row>
    <row r="332">
      <c r="A332" s="35"/>
      <c r="B332" s="37"/>
      <c r="C332" s="37"/>
      <c r="D332" s="35"/>
      <c r="E332" s="35"/>
      <c r="F332" s="35"/>
      <c r="G332" s="35"/>
      <c r="H332" s="35"/>
      <c r="I332" s="38"/>
      <c r="J332" s="37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</row>
    <row r="333">
      <c r="A333" s="35"/>
      <c r="B333" s="37"/>
      <c r="C333" s="37"/>
      <c r="D333" s="35"/>
      <c r="E333" s="35"/>
      <c r="F333" s="35"/>
      <c r="G333" s="35"/>
      <c r="H333" s="35"/>
      <c r="I333" s="38"/>
      <c r="J333" s="37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</row>
    <row r="334">
      <c r="A334" s="35"/>
      <c r="B334" s="37"/>
      <c r="C334" s="37"/>
      <c r="D334" s="35"/>
      <c r="E334" s="35"/>
      <c r="F334" s="35"/>
      <c r="G334" s="35"/>
      <c r="H334" s="35"/>
      <c r="I334" s="38"/>
      <c r="J334" s="37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</row>
    <row r="335">
      <c r="A335" s="35"/>
      <c r="B335" s="37"/>
      <c r="C335" s="37"/>
      <c r="D335" s="35"/>
      <c r="E335" s="35"/>
      <c r="F335" s="35"/>
      <c r="G335" s="35"/>
      <c r="H335" s="35"/>
      <c r="I335" s="38"/>
      <c r="J335" s="37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</row>
    <row r="336">
      <c r="A336" s="35"/>
      <c r="B336" s="37"/>
      <c r="C336" s="37"/>
      <c r="D336" s="35"/>
      <c r="E336" s="35"/>
      <c r="F336" s="35"/>
      <c r="G336" s="35"/>
      <c r="H336" s="35"/>
      <c r="I336" s="38"/>
      <c r="J336" s="37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</row>
    <row r="337">
      <c r="A337" s="35"/>
      <c r="B337" s="37"/>
      <c r="C337" s="37"/>
      <c r="D337" s="35"/>
      <c r="E337" s="35"/>
      <c r="F337" s="35"/>
      <c r="G337" s="35"/>
      <c r="H337" s="35"/>
      <c r="I337" s="38"/>
      <c r="J337" s="37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</row>
    <row r="338">
      <c r="A338" s="35"/>
      <c r="B338" s="37"/>
      <c r="C338" s="37"/>
      <c r="D338" s="35"/>
      <c r="E338" s="35"/>
      <c r="F338" s="35"/>
      <c r="G338" s="35"/>
      <c r="H338" s="35"/>
      <c r="I338" s="38"/>
      <c r="J338" s="37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</row>
    <row r="339">
      <c r="A339" s="35"/>
      <c r="B339" s="37"/>
      <c r="C339" s="37"/>
      <c r="D339" s="35"/>
      <c r="E339" s="35"/>
      <c r="F339" s="35"/>
      <c r="G339" s="35"/>
      <c r="H339" s="35"/>
      <c r="I339" s="38"/>
      <c r="J339" s="37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</row>
    <row r="340">
      <c r="A340" s="35"/>
      <c r="B340" s="37"/>
      <c r="C340" s="37"/>
      <c r="D340" s="35"/>
      <c r="E340" s="35"/>
      <c r="F340" s="35"/>
      <c r="G340" s="35"/>
      <c r="H340" s="35"/>
      <c r="I340" s="38"/>
      <c r="J340" s="37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</row>
    <row r="341">
      <c r="A341" s="35"/>
      <c r="B341" s="37"/>
      <c r="C341" s="37"/>
      <c r="D341" s="35"/>
      <c r="E341" s="35"/>
      <c r="F341" s="35"/>
      <c r="G341" s="35"/>
      <c r="H341" s="35"/>
      <c r="I341" s="38"/>
      <c r="J341" s="37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</row>
    <row r="342">
      <c r="A342" s="35"/>
      <c r="B342" s="37"/>
      <c r="C342" s="37"/>
      <c r="D342" s="35"/>
      <c r="E342" s="35"/>
      <c r="F342" s="35"/>
      <c r="G342" s="35"/>
      <c r="H342" s="35"/>
      <c r="I342" s="38"/>
      <c r="J342" s="37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</row>
    <row r="343">
      <c r="A343" s="35"/>
      <c r="B343" s="37"/>
      <c r="C343" s="37"/>
      <c r="D343" s="35"/>
      <c r="E343" s="35"/>
      <c r="F343" s="35"/>
      <c r="G343" s="35"/>
      <c r="H343" s="35"/>
      <c r="I343" s="38"/>
      <c r="J343" s="37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</row>
    <row r="344">
      <c r="A344" s="35"/>
      <c r="B344" s="37"/>
      <c r="C344" s="37"/>
      <c r="D344" s="35"/>
      <c r="E344" s="35"/>
      <c r="F344" s="35"/>
      <c r="G344" s="35"/>
      <c r="H344" s="35"/>
      <c r="I344" s="38"/>
      <c r="J344" s="37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</row>
    <row r="345">
      <c r="A345" s="35"/>
      <c r="B345" s="37"/>
      <c r="C345" s="37"/>
      <c r="D345" s="35"/>
      <c r="E345" s="35"/>
      <c r="F345" s="35"/>
      <c r="G345" s="35"/>
      <c r="H345" s="35"/>
      <c r="I345" s="38"/>
      <c r="J345" s="37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</row>
    <row r="346">
      <c r="A346" s="35"/>
      <c r="B346" s="37"/>
      <c r="C346" s="37"/>
      <c r="D346" s="35"/>
      <c r="E346" s="35"/>
      <c r="F346" s="35"/>
      <c r="G346" s="35"/>
      <c r="H346" s="35"/>
      <c r="I346" s="38"/>
      <c r="J346" s="37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</row>
    <row r="347">
      <c r="A347" s="35"/>
      <c r="B347" s="37"/>
      <c r="C347" s="37"/>
      <c r="D347" s="35"/>
      <c r="E347" s="35"/>
      <c r="F347" s="35"/>
      <c r="G347" s="35"/>
      <c r="H347" s="35"/>
      <c r="I347" s="38"/>
      <c r="J347" s="37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</row>
    <row r="348">
      <c r="A348" s="35"/>
      <c r="B348" s="37"/>
      <c r="C348" s="37"/>
      <c r="D348" s="35"/>
      <c r="E348" s="35"/>
      <c r="F348" s="35"/>
      <c r="G348" s="35"/>
      <c r="H348" s="35"/>
      <c r="I348" s="38"/>
      <c r="J348" s="37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</row>
    <row r="349">
      <c r="A349" s="35"/>
      <c r="B349" s="37"/>
      <c r="C349" s="37"/>
      <c r="D349" s="35"/>
      <c r="E349" s="35"/>
      <c r="F349" s="35"/>
      <c r="G349" s="35"/>
      <c r="H349" s="35"/>
      <c r="I349" s="38"/>
      <c r="J349" s="37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</row>
    <row r="350">
      <c r="A350" s="35"/>
      <c r="B350" s="37"/>
      <c r="C350" s="37"/>
      <c r="D350" s="35"/>
      <c r="E350" s="35"/>
      <c r="F350" s="35"/>
      <c r="G350" s="35"/>
      <c r="H350" s="35"/>
      <c r="I350" s="38"/>
      <c r="J350" s="37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</row>
    <row r="351">
      <c r="A351" s="35"/>
      <c r="B351" s="37"/>
      <c r="C351" s="37"/>
      <c r="D351" s="35"/>
      <c r="E351" s="35"/>
      <c r="F351" s="35"/>
      <c r="G351" s="35"/>
      <c r="H351" s="35"/>
      <c r="I351" s="38"/>
      <c r="J351" s="37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</row>
    <row r="352">
      <c r="A352" s="35"/>
      <c r="B352" s="37"/>
      <c r="C352" s="37"/>
      <c r="D352" s="35"/>
      <c r="E352" s="35"/>
      <c r="F352" s="35"/>
      <c r="G352" s="35"/>
      <c r="H352" s="35"/>
      <c r="I352" s="38"/>
      <c r="J352" s="37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</row>
    <row r="353">
      <c r="A353" s="35"/>
      <c r="B353" s="37"/>
      <c r="C353" s="37"/>
      <c r="D353" s="35"/>
      <c r="E353" s="35"/>
      <c r="F353" s="35"/>
      <c r="G353" s="35"/>
      <c r="H353" s="35"/>
      <c r="I353" s="38"/>
      <c r="J353" s="37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</row>
    <row r="354">
      <c r="A354" s="35"/>
      <c r="B354" s="37"/>
      <c r="C354" s="37"/>
      <c r="D354" s="35"/>
      <c r="E354" s="35"/>
      <c r="F354" s="35"/>
      <c r="G354" s="35"/>
      <c r="H354" s="35"/>
      <c r="I354" s="38"/>
      <c r="J354" s="37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</row>
    <row r="355">
      <c r="A355" s="35"/>
      <c r="B355" s="37"/>
      <c r="C355" s="37"/>
      <c r="D355" s="35"/>
      <c r="E355" s="35"/>
      <c r="F355" s="35"/>
      <c r="G355" s="35"/>
      <c r="H355" s="35"/>
      <c r="I355" s="38"/>
      <c r="J355" s="37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</row>
    <row r="356">
      <c r="A356" s="35"/>
      <c r="B356" s="37"/>
      <c r="C356" s="37"/>
      <c r="D356" s="35"/>
      <c r="E356" s="35"/>
      <c r="F356" s="35"/>
      <c r="G356" s="35"/>
      <c r="H356" s="35"/>
      <c r="I356" s="38"/>
      <c r="J356" s="37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</row>
    <row r="357">
      <c r="A357" s="35"/>
      <c r="B357" s="37"/>
      <c r="C357" s="37"/>
      <c r="D357" s="35"/>
      <c r="E357" s="35"/>
      <c r="F357" s="35"/>
      <c r="G357" s="35"/>
      <c r="H357" s="35"/>
      <c r="I357" s="38"/>
      <c r="J357" s="37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</row>
    <row r="358">
      <c r="A358" s="35"/>
      <c r="B358" s="37"/>
      <c r="C358" s="37"/>
      <c r="D358" s="35"/>
      <c r="E358" s="35"/>
      <c r="F358" s="35"/>
      <c r="G358" s="35"/>
      <c r="H358" s="35"/>
      <c r="I358" s="38"/>
      <c r="J358" s="37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</row>
    <row r="359">
      <c r="A359" s="35"/>
      <c r="B359" s="37"/>
      <c r="C359" s="37"/>
      <c r="D359" s="35"/>
      <c r="E359" s="35"/>
      <c r="F359" s="35"/>
      <c r="G359" s="35"/>
      <c r="H359" s="35"/>
      <c r="I359" s="38"/>
      <c r="J359" s="37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</row>
    <row r="360">
      <c r="A360" s="35"/>
      <c r="B360" s="37"/>
      <c r="C360" s="37"/>
      <c r="D360" s="35"/>
      <c r="E360" s="35"/>
      <c r="F360" s="35"/>
      <c r="G360" s="35"/>
      <c r="H360" s="35"/>
      <c r="I360" s="38"/>
      <c r="J360" s="37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</row>
    <row r="361">
      <c r="A361" s="35"/>
      <c r="B361" s="37"/>
      <c r="C361" s="37"/>
      <c r="D361" s="35"/>
      <c r="E361" s="35"/>
      <c r="F361" s="35"/>
      <c r="G361" s="35"/>
      <c r="H361" s="35"/>
      <c r="I361" s="38"/>
      <c r="J361" s="37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</row>
    <row r="362">
      <c r="A362" s="35"/>
      <c r="B362" s="37"/>
      <c r="C362" s="37"/>
      <c r="D362" s="35"/>
      <c r="E362" s="35"/>
      <c r="F362" s="35"/>
      <c r="G362" s="35"/>
      <c r="H362" s="35"/>
      <c r="I362" s="38"/>
      <c r="J362" s="37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</row>
    <row r="363">
      <c r="A363" s="35"/>
      <c r="B363" s="37"/>
      <c r="C363" s="37"/>
      <c r="D363" s="35"/>
      <c r="E363" s="35"/>
      <c r="F363" s="35"/>
      <c r="G363" s="35"/>
      <c r="H363" s="35"/>
      <c r="I363" s="38"/>
      <c r="J363" s="37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</row>
    <row r="364">
      <c r="A364" s="35"/>
      <c r="B364" s="37"/>
      <c r="C364" s="37"/>
      <c r="D364" s="35"/>
      <c r="E364" s="35"/>
      <c r="F364" s="35"/>
      <c r="G364" s="35"/>
      <c r="H364" s="35"/>
      <c r="I364" s="38"/>
      <c r="J364" s="37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</row>
    <row r="365">
      <c r="A365" s="35"/>
      <c r="B365" s="37"/>
      <c r="C365" s="37"/>
      <c r="D365" s="35"/>
      <c r="E365" s="35"/>
      <c r="F365" s="35"/>
      <c r="G365" s="35"/>
      <c r="H365" s="35"/>
      <c r="I365" s="38"/>
      <c r="J365" s="37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</row>
    <row r="366">
      <c r="A366" s="35"/>
      <c r="B366" s="37"/>
      <c r="C366" s="37"/>
      <c r="D366" s="35"/>
      <c r="E366" s="35"/>
      <c r="F366" s="35"/>
      <c r="G366" s="35"/>
      <c r="H366" s="35"/>
      <c r="I366" s="38"/>
      <c r="J366" s="37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</row>
    <row r="367">
      <c r="A367" s="35"/>
      <c r="B367" s="37"/>
      <c r="C367" s="37"/>
      <c r="D367" s="35"/>
      <c r="E367" s="35"/>
      <c r="F367" s="35"/>
      <c r="G367" s="35"/>
      <c r="H367" s="35"/>
      <c r="I367" s="38"/>
      <c r="J367" s="37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</row>
    <row r="368">
      <c r="A368" s="35"/>
      <c r="B368" s="37"/>
      <c r="C368" s="37"/>
      <c r="D368" s="35"/>
      <c r="E368" s="35"/>
      <c r="F368" s="35"/>
      <c r="G368" s="35"/>
      <c r="H368" s="35"/>
      <c r="I368" s="38"/>
      <c r="J368" s="37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</row>
    <row r="369">
      <c r="A369" s="35"/>
      <c r="B369" s="37"/>
      <c r="C369" s="37"/>
      <c r="D369" s="35"/>
      <c r="E369" s="35"/>
      <c r="F369" s="35"/>
      <c r="G369" s="35"/>
      <c r="H369" s="35"/>
      <c r="I369" s="38"/>
      <c r="J369" s="37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</row>
    <row r="370">
      <c r="A370" s="35"/>
      <c r="B370" s="37"/>
      <c r="C370" s="37"/>
      <c r="D370" s="35"/>
      <c r="E370" s="35"/>
      <c r="F370" s="35"/>
      <c r="G370" s="35"/>
      <c r="H370" s="35"/>
      <c r="I370" s="38"/>
      <c r="J370" s="37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</row>
    <row r="371">
      <c r="A371" s="35"/>
      <c r="B371" s="37"/>
      <c r="C371" s="37"/>
      <c r="D371" s="35"/>
      <c r="E371" s="35"/>
      <c r="F371" s="35"/>
      <c r="G371" s="35"/>
      <c r="H371" s="35"/>
      <c r="I371" s="38"/>
      <c r="J371" s="37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</row>
    <row r="372">
      <c r="A372" s="35"/>
      <c r="B372" s="37"/>
      <c r="C372" s="37"/>
      <c r="D372" s="35"/>
      <c r="E372" s="35"/>
      <c r="F372" s="35"/>
      <c r="G372" s="35"/>
      <c r="H372" s="35"/>
      <c r="I372" s="38"/>
      <c r="J372" s="37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</row>
    <row r="373">
      <c r="A373" s="35"/>
      <c r="B373" s="37"/>
      <c r="C373" s="37"/>
      <c r="D373" s="35"/>
      <c r="E373" s="35"/>
      <c r="F373" s="35"/>
      <c r="G373" s="35"/>
      <c r="H373" s="35"/>
      <c r="I373" s="38"/>
      <c r="J373" s="37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</row>
    <row r="374">
      <c r="A374" s="35"/>
      <c r="B374" s="37"/>
      <c r="C374" s="37"/>
      <c r="D374" s="35"/>
      <c r="E374" s="35"/>
      <c r="F374" s="35"/>
      <c r="G374" s="35"/>
      <c r="H374" s="35"/>
      <c r="I374" s="38"/>
      <c r="J374" s="37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</row>
    <row r="375">
      <c r="A375" s="35"/>
      <c r="B375" s="37"/>
      <c r="C375" s="37"/>
      <c r="D375" s="35"/>
      <c r="E375" s="35"/>
      <c r="F375" s="35"/>
      <c r="G375" s="35"/>
      <c r="H375" s="35"/>
      <c r="I375" s="38"/>
      <c r="J375" s="37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</row>
    <row r="376">
      <c r="A376" s="35"/>
      <c r="B376" s="37"/>
      <c r="C376" s="37"/>
      <c r="D376" s="35"/>
      <c r="E376" s="35"/>
      <c r="F376" s="35"/>
      <c r="G376" s="35"/>
      <c r="H376" s="35"/>
      <c r="I376" s="38"/>
      <c r="J376" s="37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</row>
    <row r="377">
      <c r="A377" s="35"/>
      <c r="B377" s="37"/>
      <c r="C377" s="37"/>
      <c r="D377" s="35"/>
      <c r="E377" s="35"/>
      <c r="F377" s="35"/>
      <c r="G377" s="35"/>
      <c r="H377" s="35"/>
      <c r="I377" s="38"/>
      <c r="J377" s="37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</row>
    <row r="378">
      <c r="A378" s="35"/>
      <c r="B378" s="37"/>
      <c r="C378" s="37"/>
      <c r="D378" s="35"/>
      <c r="E378" s="35"/>
      <c r="F378" s="35"/>
      <c r="G378" s="35"/>
      <c r="H378" s="35"/>
      <c r="I378" s="38"/>
      <c r="J378" s="37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</row>
    <row r="379">
      <c r="A379" s="35"/>
      <c r="B379" s="37"/>
      <c r="C379" s="37"/>
      <c r="D379" s="35"/>
      <c r="E379" s="35"/>
      <c r="F379" s="35"/>
      <c r="G379" s="35"/>
      <c r="H379" s="35"/>
      <c r="I379" s="38"/>
      <c r="J379" s="37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</row>
    <row r="380">
      <c r="A380" s="35"/>
      <c r="B380" s="37"/>
      <c r="C380" s="37"/>
      <c r="D380" s="35"/>
      <c r="E380" s="35"/>
      <c r="F380" s="35"/>
      <c r="G380" s="35"/>
      <c r="H380" s="35"/>
      <c r="I380" s="38"/>
      <c r="J380" s="37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</row>
    <row r="381">
      <c r="A381" s="35"/>
      <c r="B381" s="37"/>
      <c r="C381" s="37"/>
      <c r="D381" s="35"/>
      <c r="E381" s="35"/>
      <c r="F381" s="35"/>
      <c r="G381" s="35"/>
      <c r="H381" s="35"/>
      <c r="I381" s="38"/>
      <c r="J381" s="37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</row>
    <row r="382">
      <c r="A382" s="35"/>
      <c r="B382" s="37"/>
      <c r="C382" s="37"/>
      <c r="D382" s="35"/>
      <c r="E382" s="35"/>
      <c r="F382" s="35"/>
      <c r="G382" s="35"/>
      <c r="H382" s="35"/>
      <c r="I382" s="38"/>
      <c r="J382" s="37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</row>
    <row r="383">
      <c r="A383" s="35"/>
      <c r="B383" s="37"/>
      <c r="C383" s="37"/>
      <c r="D383" s="35"/>
      <c r="E383" s="35"/>
      <c r="F383" s="35"/>
      <c r="G383" s="35"/>
      <c r="H383" s="35"/>
      <c r="I383" s="38"/>
      <c r="J383" s="37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</row>
    <row r="384">
      <c r="A384" s="35"/>
      <c r="B384" s="37"/>
      <c r="C384" s="37"/>
      <c r="D384" s="35"/>
      <c r="E384" s="35"/>
      <c r="F384" s="35"/>
      <c r="G384" s="35"/>
      <c r="H384" s="35"/>
      <c r="I384" s="38"/>
      <c r="J384" s="37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</row>
    <row r="385">
      <c r="A385" s="35"/>
      <c r="B385" s="37"/>
      <c r="C385" s="37"/>
      <c r="D385" s="35"/>
      <c r="E385" s="35"/>
      <c r="F385" s="35"/>
      <c r="G385" s="35"/>
      <c r="H385" s="35"/>
      <c r="I385" s="38"/>
      <c r="J385" s="37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</row>
    <row r="386">
      <c r="A386" s="35"/>
      <c r="B386" s="37"/>
      <c r="C386" s="37"/>
      <c r="D386" s="35"/>
      <c r="E386" s="35"/>
      <c r="F386" s="35"/>
      <c r="G386" s="35"/>
      <c r="H386" s="35"/>
      <c r="I386" s="38"/>
      <c r="J386" s="37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</row>
    <row r="387">
      <c r="A387" s="35"/>
      <c r="B387" s="37"/>
      <c r="C387" s="37"/>
      <c r="D387" s="35"/>
      <c r="E387" s="35"/>
      <c r="F387" s="35"/>
      <c r="G387" s="35"/>
      <c r="H387" s="35"/>
      <c r="I387" s="38"/>
      <c r="J387" s="37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</row>
    <row r="388">
      <c r="A388" s="35"/>
      <c r="B388" s="37"/>
      <c r="C388" s="37"/>
      <c r="D388" s="35"/>
      <c r="E388" s="35"/>
      <c r="F388" s="35"/>
      <c r="G388" s="35"/>
      <c r="H388" s="35"/>
      <c r="I388" s="38"/>
      <c r="J388" s="37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</row>
    <row r="389">
      <c r="A389" s="35"/>
      <c r="B389" s="37"/>
      <c r="C389" s="37"/>
      <c r="D389" s="35"/>
      <c r="E389" s="35"/>
      <c r="F389" s="35"/>
      <c r="G389" s="35"/>
      <c r="H389" s="35"/>
      <c r="I389" s="38"/>
      <c r="J389" s="37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</row>
    <row r="390">
      <c r="A390" s="35"/>
      <c r="B390" s="37"/>
      <c r="C390" s="37"/>
      <c r="D390" s="35"/>
      <c r="E390" s="35"/>
      <c r="F390" s="35"/>
      <c r="G390" s="35"/>
      <c r="H390" s="35"/>
      <c r="I390" s="38"/>
      <c r="J390" s="37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</row>
    <row r="391">
      <c r="A391" s="35"/>
      <c r="B391" s="37"/>
      <c r="C391" s="37"/>
      <c r="D391" s="35"/>
      <c r="E391" s="35"/>
      <c r="F391" s="35"/>
      <c r="G391" s="35"/>
      <c r="H391" s="35"/>
      <c r="I391" s="38"/>
      <c r="J391" s="37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</row>
    <row r="392">
      <c r="A392" s="35"/>
      <c r="B392" s="37"/>
      <c r="C392" s="37"/>
      <c r="D392" s="35"/>
      <c r="E392" s="35"/>
      <c r="F392" s="35"/>
      <c r="G392" s="35"/>
      <c r="H392" s="35"/>
      <c r="I392" s="38"/>
      <c r="J392" s="37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</row>
    <row r="393">
      <c r="A393" s="35"/>
      <c r="B393" s="37"/>
      <c r="C393" s="37"/>
      <c r="D393" s="35"/>
      <c r="E393" s="35"/>
      <c r="F393" s="35"/>
      <c r="G393" s="35"/>
      <c r="H393" s="35"/>
      <c r="I393" s="38"/>
      <c r="J393" s="37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</row>
    <row r="394">
      <c r="A394" s="35"/>
      <c r="B394" s="37"/>
      <c r="C394" s="37"/>
      <c r="D394" s="35"/>
      <c r="E394" s="35"/>
      <c r="F394" s="35"/>
      <c r="G394" s="35"/>
      <c r="H394" s="35"/>
      <c r="I394" s="38"/>
      <c r="J394" s="37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</row>
    <row r="395">
      <c r="A395" s="35"/>
      <c r="B395" s="37"/>
      <c r="C395" s="37"/>
      <c r="D395" s="35"/>
      <c r="E395" s="35"/>
      <c r="F395" s="35"/>
      <c r="G395" s="35"/>
      <c r="H395" s="35"/>
      <c r="I395" s="38"/>
      <c r="J395" s="37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</row>
    <row r="396">
      <c r="A396" s="35"/>
      <c r="B396" s="37"/>
      <c r="C396" s="37"/>
      <c r="D396" s="35"/>
      <c r="E396" s="35"/>
      <c r="F396" s="35"/>
      <c r="G396" s="35"/>
      <c r="H396" s="35"/>
      <c r="I396" s="38"/>
      <c r="J396" s="37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</row>
    <row r="397">
      <c r="A397" s="35"/>
      <c r="B397" s="37"/>
      <c r="C397" s="37"/>
      <c r="D397" s="35"/>
      <c r="E397" s="35"/>
      <c r="F397" s="35"/>
      <c r="G397" s="35"/>
      <c r="H397" s="35"/>
      <c r="I397" s="38"/>
      <c r="J397" s="37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</row>
    <row r="398">
      <c r="A398" s="35"/>
      <c r="B398" s="37"/>
      <c r="C398" s="37"/>
      <c r="D398" s="35"/>
      <c r="E398" s="35"/>
      <c r="F398" s="35"/>
      <c r="G398" s="35"/>
      <c r="H398" s="35"/>
      <c r="I398" s="38"/>
      <c r="J398" s="37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</row>
    <row r="399">
      <c r="A399" s="35"/>
      <c r="B399" s="37"/>
      <c r="C399" s="37"/>
      <c r="D399" s="35"/>
      <c r="E399" s="35"/>
      <c r="F399" s="35"/>
      <c r="G399" s="35"/>
      <c r="H399" s="35"/>
      <c r="I399" s="38"/>
      <c r="J399" s="37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</row>
    <row r="400">
      <c r="A400" s="35"/>
      <c r="B400" s="37"/>
      <c r="C400" s="37"/>
      <c r="D400" s="35"/>
      <c r="E400" s="35"/>
      <c r="F400" s="35"/>
      <c r="G400" s="35"/>
      <c r="H400" s="35"/>
      <c r="I400" s="38"/>
      <c r="J400" s="37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</row>
    <row r="401">
      <c r="A401" s="35"/>
      <c r="B401" s="37"/>
      <c r="C401" s="37"/>
      <c r="D401" s="35"/>
      <c r="E401" s="35"/>
      <c r="F401" s="35"/>
      <c r="G401" s="35"/>
      <c r="H401" s="35"/>
      <c r="I401" s="38"/>
      <c r="J401" s="37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</row>
    <row r="402">
      <c r="A402" s="35"/>
      <c r="B402" s="37"/>
      <c r="C402" s="37"/>
      <c r="D402" s="35"/>
      <c r="E402" s="35"/>
      <c r="F402" s="35"/>
      <c r="G402" s="35"/>
      <c r="H402" s="35"/>
      <c r="I402" s="38"/>
      <c r="J402" s="37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</row>
    <row r="403">
      <c r="A403" s="35"/>
      <c r="B403" s="37"/>
      <c r="C403" s="37"/>
      <c r="D403" s="35"/>
      <c r="E403" s="35"/>
      <c r="F403" s="35"/>
      <c r="G403" s="35"/>
      <c r="H403" s="35"/>
      <c r="I403" s="38"/>
      <c r="J403" s="37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</row>
    <row r="404">
      <c r="A404" s="35"/>
      <c r="B404" s="37"/>
      <c r="C404" s="37"/>
      <c r="D404" s="35"/>
      <c r="E404" s="35"/>
      <c r="F404" s="35"/>
      <c r="G404" s="35"/>
      <c r="H404" s="35"/>
      <c r="I404" s="38"/>
      <c r="J404" s="37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</row>
    <row r="405">
      <c r="A405" s="35"/>
      <c r="B405" s="37"/>
      <c r="C405" s="37"/>
      <c r="D405" s="35"/>
      <c r="E405" s="35"/>
      <c r="F405" s="35"/>
      <c r="G405" s="35"/>
      <c r="H405" s="35"/>
      <c r="I405" s="38"/>
      <c r="J405" s="37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</row>
    <row r="406">
      <c r="A406" s="35"/>
      <c r="B406" s="37"/>
      <c r="C406" s="37"/>
      <c r="D406" s="35"/>
      <c r="E406" s="35"/>
      <c r="F406" s="35"/>
      <c r="G406" s="35"/>
      <c r="H406" s="35"/>
      <c r="I406" s="38"/>
      <c r="J406" s="37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</row>
    <row r="407">
      <c r="A407" s="35"/>
      <c r="B407" s="37"/>
      <c r="C407" s="37"/>
      <c r="D407" s="35"/>
      <c r="E407" s="35"/>
      <c r="F407" s="35"/>
      <c r="G407" s="35"/>
      <c r="H407" s="35"/>
      <c r="I407" s="38"/>
      <c r="J407" s="37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</row>
    <row r="408">
      <c r="A408" s="35"/>
      <c r="B408" s="37"/>
      <c r="C408" s="37"/>
      <c r="D408" s="35"/>
      <c r="E408" s="35"/>
      <c r="F408" s="35"/>
      <c r="G408" s="35"/>
      <c r="H408" s="35"/>
      <c r="I408" s="38"/>
      <c r="J408" s="37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</row>
    <row r="409">
      <c r="A409" s="35"/>
      <c r="B409" s="37"/>
      <c r="C409" s="37"/>
      <c r="D409" s="35"/>
      <c r="E409" s="35"/>
      <c r="F409" s="35"/>
      <c r="G409" s="35"/>
      <c r="H409" s="35"/>
      <c r="I409" s="38"/>
      <c r="J409" s="37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</row>
    <row r="410">
      <c r="A410" s="35"/>
      <c r="B410" s="37"/>
      <c r="C410" s="37"/>
      <c r="D410" s="35"/>
      <c r="E410" s="35"/>
      <c r="F410" s="35"/>
      <c r="G410" s="35"/>
      <c r="H410" s="35"/>
      <c r="I410" s="38"/>
      <c r="J410" s="37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</row>
    <row r="411">
      <c r="A411" s="35"/>
      <c r="B411" s="37"/>
      <c r="C411" s="37"/>
      <c r="D411" s="35"/>
      <c r="E411" s="35"/>
      <c r="F411" s="35"/>
      <c r="G411" s="35"/>
      <c r="H411" s="35"/>
      <c r="I411" s="38"/>
      <c r="J411" s="37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</row>
    <row r="412">
      <c r="A412" s="35"/>
      <c r="B412" s="37"/>
      <c r="C412" s="37"/>
      <c r="D412" s="35"/>
      <c r="E412" s="35"/>
      <c r="F412" s="35"/>
      <c r="G412" s="35"/>
      <c r="H412" s="35"/>
      <c r="I412" s="38"/>
      <c r="J412" s="37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</row>
    <row r="413">
      <c r="A413" s="35"/>
      <c r="B413" s="37"/>
      <c r="C413" s="37"/>
      <c r="D413" s="35"/>
      <c r="E413" s="35"/>
      <c r="F413" s="35"/>
      <c r="G413" s="35"/>
      <c r="H413" s="35"/>
      <c r="I413" s="38"/>
      <c r="J413" s="37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</row>
    <row r="414">
      <c r="A414" s="35"/>
      <c r="B414" s="37"/>
      <c r="C414" s="37"/>
      <c r="D414" s="35"/>
      <c r="E414" s="35"/>
      <c r="F414" s="35"/>
      <c r="G414" s="35"/>
      <c r="H414" s="35"/>
      <c r="I414" s="38"/>
      <c r="J414" s="37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</row>
    <row r="415">
      <c r="A415" s="35"/>
      <c r="B415" s="37"/>
      <c r="C415" s="37"/>
      <c r="D415" s="35"/>
      <c r="E415" s="35"/>
      <c r="F415" s="35"/>
      <c r="G415" s="35"/>
      <c r="H415" s="35"/>
      <c r="I415" s="38"/>
      <c r="J415" s="37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</row>
    <row r="416">
      <c r="A416" s="35"/>
      <c r="B416" s="37"/>
      <c r="C416" s="37"/>
      <c r="D416" s="35"/>
      <c r="E416" s="35"/>
      <c r="F416" s="35"/>
      <c r="G416" s="35"/>
      <c r="H416" s="35"/>
      <c r="I416" s="38"/>
      <c r="J416" s="37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</row>
    <row r="417">
      <c r="A417" s="35"/>
      <c r="B417" s="37"/>
      <c r="C417" s="37"/>
      <c r="D417" s="35"/>
      <c r="E417" s="35"/>
      <c r="F417" s="35"/>
      <c r="G417" s="35"/>
      <c r="H417" s="35"/>
      <c r="I417" s="38"/>
      <c r="J417" s="37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</row>
    <row r="418">
      <c r="A418" s="35"/>
      <c r="B418" s="37"/>
      <c r="C418" s="37"/>
      <c r="D418" s="35"/>
      <c r="E418" s="35"/>
      <c r="F418" s="35"/>
      <c r="G418" s="35"/>
      <c r="H418" s="35"/>
      <c r="I418" s="38"/>
      <c r="J418" s="37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</row>
    <row r="419">
      <c r="A419" s="35"/>
      <c r="B419" s="37"/>
      <c r="C419" s="37"/>
      <c r="D419" s="35"/>
      <c r="E419" s="35"/>
      <c r="F419" s="35"/>
      <c r="G419" s="35"/>
      <c r="H419" s="35"/>
      <c r="I419" s="38"/>
      <c r="J419" s="37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</row>
    <row r="420">
      <c r="A420" s="35"/>
      <c r="B420" s="37"/>
      <c r="C420" s="37"/>
      <c r="D420" s="35"/>
      <c r="E420" s="35"/>
      <c r="F420" s="35"/>
      <c r="G420" s="35"/>
      <c r="H420" s="35"/>
      <c r="I420" s="38"/>
      <c r="J420" s="37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</row>
    <row r="421">
      <c r="A421" s="35"/>
      <c r="B421" s="37"/>
      <c r="C421" s="37"/>
      <c r="D421" s="35"/>
      <c r="E421" s="35"/>
      <c r="F421" s="35"/>
      <c r="G421" s="35"/>
      <c r="H421" s="35"/>
      <c r="I421" s="38"/>
      <c r="J421" s="37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</row>
    <row r="422">
      <c r="A422" s="35"/>
      <c r="B422" s="37"/>
      <c r="C422" s="37"/>
      <c r="D422" s="35"/>
      <c r="E422" s="35"/>
      <c r="F422" s="35"/>
      <c r="G422" s="35"/>
      <c r="H422" s="35"/>
      <c r="I422" s="38"/>
      <c r="J422" s="37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</row>
    <row r="423">
      <c r="A423" s="35"/>
      <c r="B423" s="37"/>
      <c r="C423" s="37"/>
      <c r="D423" s="35"/>
      <c r="E423" s="35"/>
      <c r="F423" s="35"/>
      <c r="G423" s="35"/>
      <c r="H423" s="35"/>
      <c r="I423" s="38"/>
      <c r="J423" s="37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</row>
    <row r="424">
      <c r="A424" s="35"/>
      <c r="B424" s="37"/>
      <c r="C424" s="37"/>
      <c r="D424" s="35"/>
      <c r="E424" s="35"/>
      <c r="F424" s="35"/>
      <c r="G424" s="35"/>
      <c r="H424" s="35"/>
      <c r="I424" s="38"/>
      <c r="J424" s="37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</row>
    <row r="425">
      <c r="A425" s="35"/>
      <c r="B425" s="37"/>
      <c r="C425" s="37"/>
      <c r="D425" s="35"/>
      <c r="E425" s="35"/>
      <c r="F425" s="35"/>
      <c r="G425" s="35"/>
      <c r="H425" s="35"/>
      <c r="I425" s="38"/>
      <c r="J425" s="37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</row>
    <row r="426">
      <c r="A426" s="35"/>
      <c r="B426" s="37"/>
      <c r="C426" s="37"/>
      <c r="D426" s="35"/>
      <c r="E426" s="35"/>
      <c r="F426" s="35"/>
      <c r="G426" s="35"/>
      <c r="H426" s="35"/>
      <c r="I426" s="38"/>
      <c r="J426" s="37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</row>
    <row r="427">
      <c r="A427" s="35"/>
      <c r="B427" s="37"/>
      <c r="C427" s="37"/>
      <c r="D427" s="35"/>
      <c r="E427" s="35"/>
      <c r="F427" s="35"/>
      <c r="G427" s="35"/>
      <c r="H427" s="35"/>
      <c r="I427" s="38"/>
      <c r="J427" s="37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</row>
    <row r="428">
      <c r="A428" s="35"/>
      <c r="B428" s="37"/>
      <c r="C428" s="37"/>
      <c r="D428" s="35"/>
      <c r="E428" s="35"/>
      <c r="F428" s="35"/>
      <c r="G428" s="35"/>
      <c r="H428" s="35"/>
      <c r="I428" s="38"/>
      <c r="J428" s="37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</row>
    <row r="429">
      <c r="A429" s="35"/>
      <c r="B429" s="37"/>
      <c r="C429" s="37"/>
      <c r="D429" s="35"/>
      <c r="E429" s="35"/>
      <c r="F429" s="35"/>
      <c r="G429" s="35"/>
      <c r="H429" s="35"/>
      <c r="I429" s="38"/>
      <c r="J429" s="37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</row>
    <row r="430">
      <c r="A430" s="35"/>
      <c r="B430" s="37"/>
      <c r="C430" s="37"/>
      <c r="D430" s="35"/>
      <c r="E430" s="35"/>
      <c r="F430" s="35"/>
      <c r="G430" s="35"/>
      <c r="H430" s="35"/>
      <c r="I430" s="38"/>
      <c r="J430" s="37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</row>
    <row r="431">
      <c r="A431" s="35"/>
      <c r="B431" s="37"/>
      <c r="C431" s="37"/>
      <c r="D431" s="35"/>
      <c r="E431" s="35"/>
      <c r="F431" s="35"/>
      <c r="G431" s="35"/>
      <c r="H431" s="35"/>
      <c r="I431" s="38"/>
      <c r="J431" s="37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</row>
    <row r="432">
      <c r="A432" s="35"/>
      <c r="B432" s="37"/>
      <c r="C432" s="37"/>
      <c r="D432" s="35"/>
      <c r="E432" s="35"/>
      <c r="F432" s="35"/>
      <c r="G432" s="35"/>
      <c r="H432" s="35"/>
      <c r="I432" s="38"/>
      <c r="J432" s="37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</row>
    <row r="433">
      <c r="A433" s="35"/>
      <c r="B433" s="37"/>
      <c r="C433" s="37"/>
      <c r="D433" s="35"/>
      <c r="E433" s="35"/>
      <c r="F433" s="35"/>
      <c r="G433" s="35"/>
      <c r="H433" s="35"/>
      <c r="I433" s="38"/>
      <c r="J433" s="37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</row>
    <row r="434">
      <c r="A434" s="35"/>
      <c r="B434" s="37"/>
      <c r="C434" s="37"/>
      <c r="D434" s="35"/>
      <c r="E434" s="35"/>
      <c r="F434" s="35"/>
      <c r="G434" s="35"/>
      <c r="H434" s="35"/>
      <c r="I434" s="38"/>
      <c r="J434" s="37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</row>
    <row r="435">
      <c r="A435" s="35"/>
      <c r="B435" s="37"/>
      <c r="C435" s="37"/>
      <c r="D435" s="35"/>
      <c r="E435" s="35"/>
      <c r="F435" s="35"/>
      <c r="G435" s="35"/>
      <c r="H435" s="35"/>
      <c r="I435" s="38"/>
      <c r="J435" s="37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</row>
    <row r="436">
      <c r="A436" s="35"/>
      <c r="B436" s="37"/>
      <c r="C436" s="37"/>
      <c r="D436" s="35"/>
      <c r="E436" s="35"/>
      <c r="F436" s="35"/>
      <c r="G436" s="35"/>
      <c r="H436" s="35"/>
      <c r="I436" s="38"/>
      <c r="J436" s="37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</row>
    <row r="437">
      <c r="A437" s="35"/>
      <c r="B437" s="37"/>
      <c r="C437" s="37"/>
      <c r="D437" s="35"/>
      <c r="E437" s="35"/>
      <c r="F437" s="35"/>
      <c r="G437" s="35"/>
      <c r="H437" s="35"/>
      <c r="I437" s="38"/>
      <c r="J437" s="37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</row>
    <row r="438">
      <c r="A438" s="35"/>
      <c r="B438" s="37"/>
      <c r="C438" s="37"/>
      <c r="D438" s="35"/>
      <c r="E438" s="35"/>
      <c r="F438" s="35"/>
      <c r="G438" s="35"/>
      <c r="H438" s="35"/>
      <c r="I438" s="38"/>
      <c r="J438" s="37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</row>
    <row r="439">
      <c r="A439" s="35"/>
      <c r="B439" s="37"/>
      <c r="C439" s="37"/>
      <c r="D439" s="35"/>
      <c r="E439" s="35"/>
      <c r="F439" s="35"/>
      <c r="G439" s="35"/>
      <c r="H439" s="35"/>
      <c r="I439" s="38"/>
      <c r="J439" s="37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</row>
    <row r="440">
      <c r="A440" s="35"/>
      <c r="B440" s="37"/>
      <c r="C440" s="37"/>
      <c r="D440" s="35"/>
      <c r="E440" s="35"/>
      <c r="F440" s="35"/>
      <c r="G440" s="35"/>
      <c r="H440" s="35"/>
      <c r="I440" s="38"/>
      <c r="J440" s="37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</row>
    <row r="441">
      <c r="A441" s="35"/>
      <c r="B441" s="37"/>
      <c r="C441" s="37"/>
      <c r="D441" s="35"/>
      <c r="E441" s="35"/>
      <c r="F441" s="35"/>
      <c r="G441" s="35"/>
      <c r="H441" s="35"/>
      <c r="I441" s="38"/>
      <c r="J441" s="37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</row>
    <row r="442">
      <c r="A442" s="35"/>
      <c r="B442" s="37"/>
      <c r="C442" s="37"/>
      <c r="D442" s="35"/>
      <c r="E442" s="35"/>
      <c r="F442" s="35"/>
      <c r="G442" s="35"/>
      <c r="H442" s="35"/>
      <c r="I442" s="38"/>
      <c r="J442" s="37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</row>
    <row r="443">
      <c r="A443" s="35"/>
      <c r="B443" s="37"/>
      <c r="C443" s="37"/>
      <c r="D443" s="35"/>
      <c r="E443" s="35"/>
      <c r="F443" s="35"/>
      <c r="G443" s="35"/>
      <c r="H443" s="35"/>
      <c r="I443" s="38"/>
      <c r="J443" s="37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</row>
    <row r="444">
      <c r="A444" s="35"/>
      <c r="B444" s="37"/>
      <c r="C444" s="37"/>
      <c r="D444" s="35"/>
      <c r="E444" s="35"/>
      <c r="F444" s="35"/>
      <c r="G444" s="35"/>
      <c r="H444" s="35"/>
      <c r="I444" s="38"/>
      <c r="J444" s="37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</row>
    <row r="445">
      <c r="A445" s="35"/>
      <c r="B445" s="37"/>
      <c r="C445" s="37"/>
      <c r="D445" s="35"/>
      <c r="E445" s="35"/>
      <c r="F445" s="35"/>
      <c r="G445" s="35"/>
      <c r="H445" s="35"/>
      <c r="I445" s="38"/>
      <c r="J445" s="37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</row>
    <row r="446">
      <c r="A446" s="35"/>
      <c r="B446" s="37"/>
      <c r="C446" s="37"/>
      <c r="D446" s="35"/>
      <c r="E446" s="35"/>
      <c r="F446" s="35"/>
      <c r="G446" s="35"/>
      <c r="H446" s="35"/>
      <c r="I446" s="38"/>
      <c r="J446" s="37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</row>
    <row r="447">
      <c r="A447" s="35"/>
      <c r="B447" s="37"/>
      <c r="C447" s="37"/>
      <c r="D447" s="35"/>
      <c r="E447" s="35"/>
      <c r="F447" s="35"/>
      <c r="G447" s="35"/>
      <c r="H447" s="35"/>
      <c r="I447" s="38"/>
      <c r="J447" s="37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</row>
    <row r="448">
      <c r="A448" s="35"/>
      <c r="B448" s="37"/>
      <c r="C448" s="37"/>
      <c r="D448" s="35"/>
      <c r="E448" s="35"/>
      <c r="F448" s="35"/>
      <c r="G448" s="35"/>
      <c r="H448" s="35"/>
      <c r="I448" s="38"/>
      <c r="J448" s="37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</row>
    <row r="449">
      <c r="A449" s="35"/>
      <c r="B449" s="37"/>
      <c r="C449" s="37"/>
      <c r="D449" s="35"/>
      <c r="E449" s="35"/>
      <c r="F449" s="35"/>
      <c r="G449" s="35"/>
      <c r="H449" s="35"/>
      <c r="I449" s="38"/>
      <c r="J449" s="37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</row>
    <row r="450">
      <c r="A450" s="35"/>
      <c r="B450" s="37"/>
      <c r="C450" s="37"/>
      <c r="D450" s="35"/>
      <c r="E450" s="35"/>
      <c r="F450" s="35"/>
      <c r="G450" s="35"/>
      <c r="H450" s="35"/>
      <c r="I450" s="38"/>
      <c r="J450" s="37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</row>
    <row r="451">
      <c r="A451" s="35"/>
      <c r="B451" s="37"/>
      <c r="C451" s="37"/>
      <c r="D451" s="35"/>
      <c r="E451" s="35"/>
      <c r="F451" s="35"/>
      <c r="G451" s="35"/>
      <c r="H451" s="35"/>
      <c r="I451" s="38"/>
      <c r="J451" s="37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</row>
    <row r="452">
      <c r="A452" s="35"/>
      <c r="B452" s="37"/>
      <c r="C452" s="37"/>
      <c r="D452" s="35"/>
      <c r="E452" s="35"/>
      <c r="F452" s="35"/>
      <c r="G452" s="35"/>
      <c r="H452" s="35"/>
      <c r="I452" s="38"/>
      <c r="J452" s="37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</row>
    <row r="453">
      <c r="A453" s="35"/>
      <c r="B453" s="37"/>
      <c r="C453" s="37"/>
      <c r="D453" s="35"/>
      <c r="E453" s="35"/>
      <c r="F453" s="35"/>
      <c r="G453" s="35"/>
      <c r="H453" s="35"/>
      <c r="I453" s="38"/>
      <c r="J453" s="37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</row>
    <row r="454">
      <c r="A454" s="35"/>
      <c r="B454" s="37"/>
      <c r="C454" s="37"/>
      <c r="D454" s="35"/>
      <c r="E454" s="35"/>
      <c r="F454" s="35"/>
      <c r="G454" s="35"/>
      <c r="H454" s="35"/>
      <c r="I454" s="38"/>
      <c r="J454" s="37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</row>
    <row r="455">
      <c r="A455" s="35"/>
      <c r="B455" s="37"/>
      <c r="C455" s="37"/>
      <c r="D455" s="35"/>
      <c r="E455" s="35"/>
      <c r="F455" s="35"/>
      <c r="G455" s="35"/>
      <c r="H455" s="35"/>
      <c r="I455" s="38"/>
      <c r="J455" s="37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</row>
    <row r="456">
      <c r="A456" s="35"/>
      <c r="B456" s="37"/>
      <c r="C456" s="37"/>
      <c r="D456" s="35"/>
      <c r="E456" s="35"/>
      <c r="F456" s="35"/>
      <c r="G456" s="35"/>
      <c r="H456" s="35"/>
      <c r="I456" s="38"/>
      <c r="J456" s="37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</row>
    <row r="457">
      <c r="A457" s="35"/>
      <c r="B457" s="37"/>
      <c r="C457" s="37"/>
      <c r="D457" s="35"/>
      <c r="E457" s="35"/>
      <c r="F457" s="35"/>
      <c r="G457" s="35"/>
      <c r="H457" s="35"/>
      <c r="I457" s="38"/>
      <c r="J457" s="37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</row>
    <row r="458">
      <c r="A458" s="35"/>
      <c r="B458" s="37"/>
      <c r="C458" s="37"/>
      <c r="D458" s="35"/>
      <c r="E458" s="35"/>
      <c r="F458" s="35"/>
      <c r="G458" s="35"/>
      <c r="H458" s="35"/>
      <c r="I458" s="38"/>
      <c r="J458" s="37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</row>
    <row r="459">
      <c r="A459" s="35"/>
      <c r="B459" s="37"/>
      <c r="C459" s="37"/>
      <c r="D459" s="35"/>
      <c r="E459" s="35"/>
      <c r="F459" s="35"/>
      <c r="G459" s="35"/>
      <c r="H459" s="35"/>
      <c r="I459" s="38"/>
      <c r="J459" s="37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</row>
    <row r="460">
      <c r="A460" s="35"/>
      <c r="B460" s="37"/>
      <c r="C460" s="37"/>
      <c r="D460" s="35"/>
      <c r="E460" s="35"/>
      <c r="F460" s="35"/>
      <c r="G460" s="35"/>
      <c r="H460" s="35"/>
      <c r="I460" s="38"/>
      <c r="J460" s="37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</row>
    <row r="461">
      <c r="A461" s="35"/>
      <c r="B461" s="37"/>
      <c r="C461" s="37"/>
      <c r="D461" s="35"/>
      <c r="E461" s="35"/>
      <c r="F461" s="35"/>
      <c r="G461" s="35"/>
      <c r="H461" s="35"/>
      <c r="I461" s="38"/>
      <c r="J461" s="37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</row>
    <row r="462">
      <c r="A462" s="35"/>
      <c r="B462" s="37"/>
      <c r="C462" s="37"/>
      <c r="D462" s="35"/>
      <c r="E462" s="35"/>
      <c r="F462" s="35"/>
      <c r="G462" s="35"/>
      <c r="H462" s="35"/>
      <c r="I462" s="38"/>
      <c r="J462" s="37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</row>
    <row r="463">
      <c r="A463" s="35"/>
      <c r="B463" s="37"/>
      <c r="C463" s="37"/>
      <c r="D463" s="35"/>
      <c r="E463" s="35"/>
      <c r="F463" s="35"/>
      <c r="G463" s="35"/>
      <c r="H463" s="35"/>
      <c r="I463" s="38"/>
      <c r="J463" s="37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</row>
    <row r="464">
      <c r="A464" s="35"/>
      <c r="B464" s="37"/>
      <c r="C464" s="37"/>
      <c r="D464" s="35"/>
      <c r="E464" s="35"/>
      <c r="F464" s="35"/>
      <c r="G464" s="35"/>
      <c r="H464" s="35"/>
      <c r="I464" s="38"/>
      <c r="J464" s="37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</row>
    <row r="465">
      <c r="A465" s="35"/>
      <c r="B465" s="37"/>
      <c r="C465" s="37"/>
      <c r="D465" s="35"/>
      <c r="E465" s="35"/>
      <c r="F465" s="35"/>
      <c r="G465" s="35"/>
      <c r="H465" s="35"/>
      <c r="I465" s="38"/>
      <c r="J465" s="37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</row>
    <row r="466">
      <c r="A466" s="35"/>
      <c r="B466" s="37"/>
      <c r="C466" s="37"/>
      <c r="D466" s="35"/>
      <c r="E466" s="35"/>
      <c r="F466" s="35"/>
      <c r="G466" s="35"/>
      <c r="H466" s="35"/>
      <c r="I466" s="38"/>
      <c r="J466" s="37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</row>
    <row r="467">
      <c r="A467" s="35"/>
      <c r="B467" s="37"/>
      <c r="C467" s="37"/>
      <c r="D467" s="35"/>
      <c r="E467" s="35"/>
      <c r="F467" s="35"/>
      <c r="G467" s="35"/>
      <c r="H467" s="35"/>
      <c r="I467" s="38"/>
      <c r="J467" s="37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</row>
    <row r="468">
      <c r="A468" s="35"/>
      <c r="B468" s="37"/>
      <c r="C468" s="37"/>
      <c r="D468" s="35"/>
      <c r="E468" s="35"/>
      <c r="F468" s="35"/>
      <c r="G468" s="35"/>
      <c r="H468" s="35"/>
      <c r="I468" s="38"/>
      <c r="J468" s="37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</row>
    <row r="469">
      <c r="A469" s="35"/>
      <c r="B469" s="37"/>
      <c r="C469" s="37"/>
      <c r="D469" s="35"/>
      <c r="E469" s="35"/>
      <c r="F469" s="35"/>
      <c r="G469" s="35"/>
      <c r="H469" s="35"/>
      <c r="I469" s="38"/>
      <c r="J469" s="37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</row>
    <row r="470">
      <c r="A470" s="35"/>
      <c r="B470" s="37"/>
      <c r="C470" s="37"/>
      <c r="D470" s="35"/>
      <c r="E470" s="35"/>
      <c r="F470" s="35"/>
      <c r="G470" s="35"/>
      <c r="H470" s="35"/>
      <c r="I470" s="38"/>
      <c r="J470" s="37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</row>
    <row r="471">
      <c r="A471" s="35"/>
      <c r="B471" s="37"/>
      <c r="C471" s="37"/>
      <c r="D471" s="35"/>
      <c r="E471" s="35"/>
      <c r="F471" s="35"/>
      <c r="G471" s="35"/>
      <c r="H471" s="35"/>
      <c r="I471" s="38"/>
      <c r="J471" s="37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</row>
    <row r="472">
      <c r="A472" s="35"/>
      <c r="B472" s="37"/>
      <c r="C472" s="37"/>
      <c r="D472" s="35"/>
      <c r="E472" s="35"/>
      <c r="F472" s="35"/>
      <c r="G472" s="35"/>
      <c r="H472" s="35"/>
      <c r="I472" s="38"/>
      <c r="J472" s="37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</row>
    <row r="473">
      <c r="A473" s="35"/>
      <c r="B473" s="37"/>
      <c r="C473" s="37"/>
      <c r="D473" s="35"/>
      <c r="E473" s="35"/>
      <c r="F473" s="35"/>
      <c r="G473" s="35"/>
      <c r="H473" s="35"/>
      <c r="I473" s="38"/>
      <c r="J473" s="37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</row>
    <row r="474">
      <c r="A474" s="35"/>
      <c r="B474" s="37"/>
      <c r="C474" s="37"/>
      <c r="D474" s="35"/>
      <c r="E474" s="35"/>
      <c r="F474" s="35"/>
      <c r="G474" s="35"/>
      <c r="H474" s="35"/>
      <c r="I474" s="38"/>
      <c r="J474" s="37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</row>
    <row r="475">
      <c r="A475" s="35"/>
      <c r="B475" s="37"/>
      <c r="C475" s="37"/>
      <c r="D475" s="35"/>
      <c r="E475" s="35"/>
      <c r="F475" s="35"/>
      <c r="G475" s="35"/>
      <c r="H475" s="35"/>
      <c r="I475" s="38"/>
      <c r="J475" s="37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</row>
    <row r="476">
      <c r="A476" s="35"/>
      <c r="B476" s="37"/>
      <c r="C476" s="37"/>
      <c r="D476" s="35"/>
      <c r="E476" s="35"/>
      <c r="F476" s="35"/>
      <c r="G476" s="35"/>
      <c r="H476" s="35"/>
      <c r="I476" s="38"/>
      <c r="J476" s="37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</row>
    <row r="477">
      <c r="A477" s="35"/>
      <c r="B477" s="37"/>
      <c r="C477" s="37"/>
      <c r="D477" s="35"/>
      <c r="E477" s="35"/>
      <c r="F477" s="35"/>
      <c r="G477" s="35"/>
      <c r="H477" s="35"/>
      <c r="I477" s="38"/>
      <c r="J477" s="37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</row>
    <row r="478">
      <c r="A478" s="35"/>
      <c r="B478" s="37"/>
      <c r="C478" s="37"/>
      <c r="D478" s="35"/>
      <c r="E478" s="35"/>
      <c r="F478" s="35"/>
      <c r="G478" s="35"/>
      <c r="H478" s="35"/>
      <c r="I478" s="38"/>
      <c r="J478" s="37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</row>
    <row r="479">
      <c r="A479" s="35"/>
      <c r="B479" s="37"/>
      <c r="C479" s="37"/>
      <c r="D479" s="35"/>
      <c r="E479" s="35"/>
      <c r="F479" s="35"/>
      <c r="G479" s="35"/>
      <c r="H479" s="35"/>
      <c r="I479" s="38"/>
      <c r="J479" s="37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</row>
    <row r="480">
      <c r="A480" s="35"/>
      <c r="B480" s="37"/>
      <c r="C480" s="37"/>
      <c r="D480" s="35"/>
      <c r="E480" s="35"/>
      <c r="F480" s="35"/>
      <c r="G480" s="35"/>
      <c r="H480" s="35"/>
      <c r="I480" s="38"/>
      <c r="J480" s="37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</row>
    <row r="481">
      <c r="A481" s="35"/>
      <c r="B481" s="37"/>
      <c r="C481" s="37"/>
      <c r="D481" s="35"/>
      <c r="E481" s="35"/>
      <c r="F481" s="35"/>
      <c r="G481" s="35"/>
      <c r="H481" s="35"/>
      <c r="I481" s="38"/>
      <c r="J481" s="37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</row>
    <row r="482">
      <c r="A482" s="35"/>
      <c r="B482" s="37"/>
      <c r="C482" s="37"/>
      <c r="D482" s="35"/>
      <c r="E482" s="35"/>
      <c r="F482" s="35"/>
      <c r="G482" s="35"/>
      <c r="H482" s="35"/>
      <c r="I482" s="38"/>
      <c r="J482" s="37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</row>
    <row r="483">
      <c r="A483" s="35"/>
      <c r="B483" s="37"/>
      <c r="C483" s="37"/>
      <c r="D483" s="35"/>
      <c r="E483" s="35"/>
      <c r="F483" s="35"/>
      <c r="G483" s="35"/>
      <c r="H483" s="35"/>
      <c r="I483" s="38"/>
      <c r="J483" s="37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</row>
    <row r="484">
      <c r="A484" s="35"/>
      <c r="B484" s="37"/>
      <c r="C484" s="37"/>
      <c r="D484" s="35"/>
      <c r="E484" s="35"/>
      <c r="F484" s="35"/>
      <c r="G484" s="35"/>
      <c r="H484" s="35"/>
      <c r="I484" s="38"/>
      <c r="J484" s="37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</row>
    <row r="485">
      <c r="A485" s="35"/>
      <c r="B485" s="37"/>
      <c r="C485" s="37"/>
      <c r="D485" s="35"/>
      <c r="E485" s="35"/>
      <c r="F485" s="35"/>
      <c r="G485" s="35"/>
      <c r="H485" s="35"/>
      <c r="I485" s="38"/>
      <c r="J485" s="37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</row>
    <row r="486">
      <c r="A486" s="35"/>
      <c r="B486" s="37"/>
      <c r="C486" s="37"/>
      <c r="D486" s="35"/>
      <c r="E486" s="35"/>
      <c r="F486" s="35"/>
      <c r="G486" s="35"/>
      <c r="H486" s="35"/>
      <c r="I486" s="38"/>
      <c r="J486" s="37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</row>
    <row r="487">
      <c r="A487" s="35"/>
      <c r="B487" s="37"/>
      <c r="C487" s="37"/>
      <c r="D487" s="35"/>
      <c r="E487" s="35"/>
      <c r="F487" s="35"/>
      <c r="G487" s="35"/>
      <c r="H487" s="35"/>
      <c r="I487" s="38"/>
      <c r="J487" s="37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</row>
    <row r="488">
      <c r="A488" s="35"/>
      <c r="B488" s="37"/>
      <c r="C488" s="37"/>
      <c r="D488" s="35"/>
      <c r="E488" s="35"/>
      <c r="F488" s="35"/>
      <c r="G488" s="35"/>
      <c r="H488" s="35"/>
      <c r="I488" s="38"/>
      <c r="J488" s="37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</row>
    <row r="489">
      <c r="A489" s="35"/>
      <c r="B489" s="37"/>
      <c r="C489" s="37"/>
      <c r="D489" s="35"/>
      <c r="E489" s="35"/>
      <c r="F489" s="35"/>
      <c r="G489" s="35"/>
      <c r="H489" s="35"/>
      <c r="I489" s="38"/>
      <c r="J489" s="37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</row>
    <row r="490">
      <c r="A490" s="35"/>
      <c r="B490" s="37"/>
      <c r="C490" s="37"/>
      <c r="D490" s="35"/>
      <c r="E490" s="35"/>
      <c r="F490" s="35"/>
      <c r="G490" s="35"/>
      <c r="H490" s="35"/>
      <c r="I490" s="38"/>
      <c r="J490" s="37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</row>
    <row r="491">
      <c r="A491" s="35"/>
      <c r="B491" s="37"/>
      <c r="C491" s="37"/>
      <c r="D491" s="35"/>
      <c r="E491" s="35"/>
      <c r="F491" s="35"/>
      <c r="G491" s="35"/>
      <c r="H491" s="35"/>
      <c r="I491" s="38"/>
      <c r="J491" s="37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</row>
    <row r="492">
      <c r="A492" s="35"/>
      <c r="B492" s="37"/>
      <c r="C492" s="37"/>
      <c r="D492" s="35"/>
      <c r="E492" s="35"/>
      <c r="F492" s="35"/>
      <c r="G492" s="35"/>
      <c r="H492" s="35"/>
      <c r="I492" s="38"/>
      <c r="J492" s="37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</row>
    <row r="493">
      <c r="A493" s="35"/>
      <c r="B493" s="37"/>
      <c r="C493" s="37"/>
      <c r="D493" s="35"/>
      <c r="E493" s="35"/>
      <c r="F493" s="35"/>
      <c r="G493" s="35"/>
      <c r="H493" s="35"/>
      <c r="I493" s="38"/>
      <c r="J493" s="37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</row>
    <row r="494">
      <c r="A494" s="35"/>
      <c r="B494" s="37"/>
      <c r="C494" s="37"/>
      <c r="D494" s="35"/>
      <c r="E494" s="35"/>
      <c r="F494" s="35"/>
      <c r="G494" s="35"/>
      <c r="H494" s="35"/>
      <c r="I494" s="38"/>
      <c r="J494" s="37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</row>
    <row r="495">
      <c r="A495" s="35"/>
      <c r="B495" s="37"/>
      <c r="C495" s="37"/>
      <c r="D495" s="35"/>
      <c r="E495" s="35"/>
      <c r="F495" s="35"/>
      <c r="G495" s="35"/>
      <c r="H495" s="35"/>
      <c r="I495" s="38"/>
      <c r="J495" s="37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</row>
    <row r="496">
      <c r="A496" s="35"/>
      <c r="B496" s="37"/>
      <c r="C496" s="37"/>
      <c r="D496" s="35"/>
      <c r="E496" s="35"/>
      <c r="F496" s="35"/>
      <c r="G496" s="35"/>
      <c r="H496" s="35"/>
      <c r="I496" s="38"/>
      <c r="J496" s="37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</row>
    <row r="497">
      <c r="A497" s="35"/>
      <c r="B497" s="37"/>
      <c r="C497" s="37"/>
      <c r="D497" s="35"/>
      <c r="E497" s="35"/>
      <c r="F497" s="35"/>
      <c r="G497" s="35"/>
      <c r="H497" s="35"/>
      <c r="I497" s="38"/>
      <c r="J497" s="37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</row>
    <row r="498">
      <c r="A498" s="35"/>
      <c r="B498" s="37"/>
      <c r="C498" s="37"/>
      <c r="D498" s="35"/>
      <c r="E498" s="35"/>
      <c r="F498" s="35"/>
      <c r="G498" s="35"/>
      <c r="H498" s="35"/>
      <c r="I498" s="38"/>
      <c r="J498" s="37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</row>
    <row r="499">
      <c r="A499" s="35"/>
      <c r="B499" s="37"/>
      <c r="C499" s="37"/>
      <c r="D499" s="35"/>
      <c r="E499" s="35"/>
      <c r="F499" s="35"/>
      <c r="G499" s="35"/>
      <c r="H499" s="35"/>
      <c r="I499" s="38"/>
      <c r="J499" s="37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</row>
    <row r="500">
      <c r="A500" s="35"/>
      <c r="B500" s="37"/>
      <c r="C500" s="37"/>
      <c r="D500" s="35"/>
      <c r="E500" s="35"/>
      <c r="F500" s="35"/>
      <c r="G500" s="35"/>
      <c r="H500" s="35"/>
      <c r="I500" s="38"/>
      <c r="J500" s="37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</row>
    <row r="501">
      <c r="A501" s="35"/>
      <c r="B501" s="37"/>
      <c r="C501" s="37"/>
      <c r="D501" s="35"/>
      <c r="E501" s="35"/>
      <c r="F501" s="35"/>
      <c r="G501" s="35"/>
      <c r="H501" s="35"/>
      <c r="I501" s="38"/>
      <c r="J501" s="37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</row>
    <row r="502">
      <c r="A502" s="35"/>
      <c r="B502" s="37"/>
      <c r="C502" s="37"/>
      <c r="D502" s="35"/>
      <c r="E502" s="35"/>
      <c r="F502" s="35"/>
      <c r="G502" s="35"/>
      <c r="H502" s="35"/>
      <c r="I502" s="38"/>
      <c r="J502" s="37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</row>
    <row r="503">
      <c r="A503" s="35"/>
      <c r="B503" s="37"/>
      <c r="C503" s="37"/>
      <c r="D503" s="35"/>
      <c r="E503" s="35"/>
      <c r="F503" s="35"/>
      <c r="G503" s="35"/>
      <c r="H503" s="35"/>
      <c r="I503" s="38"/>
      <c r="J503" s="37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</row>
    <row r="504">
      <c r="A504" s="35"/>
      <c r="B504" s="37"/>
      <c r="C504" s="37"/>
      <c r="D504" s="35"/>
      <c r="E504" s="35"/>
      <c r="F504" s="35"/>
      <c r="G504" s="35"/>
      <c r="H504" s="35"/>
      <c r="I504" s="38"/>
      <c r="J504" s="37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</row>
    <row r="505">
      <c r="A505" s="35"/>
      <c r="B505" s="37"/>
      <c r="C505" s="37"/>
      <c r="D505" s="35"/>
      <c r="E505" s="35"/>
      <c r="F505" s="35"/>
      <c r="G505" s="35"/>
      <c r="H505" s="35"/>
      <c r="I505" s="38"/>
      <c r="J505" s="37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</row>
    <row r="506">
      <c r="A506" s="35"/>
      <c r="B506" s="37"/>
      <c r="C506" s="37"/>
      <c r="D506" s="35"/>
      <c r="E506" s="35"/>
      <c r="F506" s="35"/>
      <c r="G506" s="35"/>
      <c r="H506" s="35"/>
      <c r="I506" s="38"/>
      <c r="J506" s="37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</row>
    <row r="507">
      <c r="A507" s="35"/>
      <c r="B507" s="37"/>
      <c r="C507" s="37"/>
      <c r="D507" s="35"/>
      <c r="E507" s="35"/>
      <c r="F507" s="35"/>
      <c r="G507" s="35"/>
      <c r="H507" s="35"/>
      <c r="I507" s="38"/>
      <c r="J507" s="37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</row>
    <row r="508">
      <c r="A508" s="35"/>
      <c r="B508" s="37"/>
      <c r="C508" s="37"/>
      <c r="D508" s="35"/>
      <c r="E508" s="35"/>
      <c r="F508" s="35"/>
      <c r="G508" s="35"/>
      <c r="H508" s="35"/>
      <c r="I508" s="38"/>
      <c r="J508" s="37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</row>
    <row r="509">
      <c r="A509" s="35"/>
      <c r="B509" s="37"/>
      <c r="C509" s="37"/>
      <c r="D509" s="35"/>
      <c r="E509" s="35"/>
      <c r="F509" s="35"/>
      <c r="G509" s="35"/>
      <c r="H509" s="35"/>
      <c r="I509" s="38"/>
      <c r="J509" s="37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</row>
    <row r="510">
      <c r="A510" s="35"/>
      <c r="B510" s="37"/>
      <c r="C510" s="37"/>
      <c r="D510" s="35"/>
      <c r="E510" s="35"/>
      <c r="F510" s="35"/>
      <c r="G510" s="35"/>
      <c r="H510" s="35"/>
      <c r="I510" s="38"/>
      <c r="J510" s="37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</row>
    <row r="511">
      <c r="A511" s="35"/>
      <c r="B511" s="37"/>
      <c r="C511" s="37"/>
      <c r="D511" s="35"/>
      <c r="E511" s="35"/>
      <c r="F511" s="35"/>
      <c r="G511" s="35"/>
      <c r="H511" s="35"/>
      <c r="I511" s="38"/>
      <c r="J511" s="37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</row>
    <row r="512">
      <c r="A512" s="35"/>
      <c r="B512" s="37"/>
      <c r="C512" s="37"/>
      <c r="D512" s="35"/>
      <c r="E512" s="35"/>
      <c r="F512" s="35"/>
      <c r="G512" s="35"/>
      <c r="H512" s="35"/>
      <c r="I512" s="38"/>
      <c r="J512" s="37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</row>
    <row r="513">
      <c r="A513" s="35"/>
      <c r="B513" s="37"/>
      <c r="C513" s="37"/>
      <c r="D513" s="35"/>
      <c r="E513" s="35"/>
      <c r="F513" s="35"/>
      <c r="G513" s="35"/>
      <c r="H513" s="35"/>
      <c r="I513" s="38"/>
      <c r="J513" s="37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</row>
    <row r="514">
      <c r="A514" s="35"/>
      <c r="B514" s="37"/>
      <c r="C514" s="37"/>
      <c r="D514" s="35"/>
      <c r="E514" s="35"/>
      <c r="F514" s="35"/>
      <c r="G514" s="35"/>
      <c r="H514" s="35"/>
      <c r="I514" s="38"/>
      <c r="J514" s="37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</row>
    <row r="515">
      <c r="A515" s="35"/>
      <c r="B515" s="37"/>
      <c r="C515" s="37"/>
      <c r="D515" s="35"/>
      <c r="E515" s="35"/>
      <c r="F515" s="35"/>
      <c r="G515" s="35"/>
      <c r="H515" s="35"/>
      <c r="I515" s="38"/>
      <c r="J515" s="37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</row>
    <row r="516">
      <c r="A516" s="35"/>
      <c r="B516" s="37"/>
      <c r="C516" s="37"/>
      <c r="D516" s="35"/>
      <c r="E516" s="35"/>
      <c r="F516" s="35"/>
      <c r="G516" s="35"/>
      <c r="H516" s="35"/>
      <c r="I516" s="38"/>
      <c r="J516" s="37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</row>
    <row r="517">
      <c r="A517" s="35"/>
      <c r="B517" s="37"/>
      <c r="C517" s="37"/>
      <c r="D517" s="35"/>
      <c r="E517" s="35"/>
      <c r="F517" s="35"/>
      <c r="G517" s="35"/>
      <c r="H517" s="35"/>
      <c r="I517" s="38"/>
      <c r="J517" s="37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</row>
    <row r="518">
      <c r="A518" s="35"/>
      <c r="B518" s="37"/>
      <c r="C518" s="37"/>
      <c r="D518" s="35"/>
      <c r="E518" s="35"/>
      <c r="F518" s="35"/>
      <c r="G518" s="35"/>
      <c r="H518" s="35"/>
      <c r="I518" s="38"/>
      <c r="J518" s="37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</row>
    <row r="519">
      <c r="A519" s="35"/>
      <c r="B519" s="37"/>
      <c r="C519" s="37"/>
      <c r="D519" s="35"/>
      <c r="E519" s="35"/>
      <c r="F519" s="35"/>
      <c r="G519" s="35"/>
      <c r="H519" s="35"/>
      <c r="I519" s="38"/>
      <c r="J519" s="37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</row>
    <row r="520">
      <c r="A520" s="35"/>
      <c r="B520" s="37"/>
      <c r="C520" s="37"/>
      <c r="D520" s="35"/>
      <c r="E520" s="35"/>
      <c r="F520" s="35"/>
      <c r="G520" s="35"/>
      <c r="H520" s="35"/>
      <c r="I520" s="38"/>
      <c r="J520" s="37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</row>
    <row r="521">
      <c r="A521" s="35"/>
      <c r="B521" s="37"/>
      <c r="C521" s="37"/>
      <c r="D521" s="35"/>
      <c r="E521" s="35"/>
      <c r="F521" s="35"/>
      <c r="G521" s="35"/>
      <c r="H521" s="35"/>
      <c r="I521" s="38"/>
      <c r="J521" s="37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</row>
    <row r="522">
      <c r="A522" s="35"/>
      <c r="B522" s="37"/>
      <c r="C522" s="37"/>
      <c r="D522" s="35"/>
      <c r="E522" s="35"/>
      <c r="F522" s="35"/>
      <c r="G522" s="35"/>
      <c r="H522" s="35"/>
      <c r="I522" s="38"/>
      <c r="J522" s="37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</row>
    <row r="523">
      <c r="A523" s="35"/>
      <c r="B523" s="37"/>
      <c r="C523" s="37"/>
      <c r="D523" s="35"/>
      <c r="E523" s="35"/>
      <c r="F523" s="35"/>
      <c r="G523" s="35"/>
      <c r="H523" s="35"/>
      <c r="I523" s="38"/>
      <c r="J523" s="37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</row>
    <row r="524">
      <c r="A524" s="35"/>
      <c r="B524" s="37"/>
      <c r="C524" s="37"/>
      <c r="D524" s="35"/>
      <c r="E524" s="35"/>
      <c r="F524" s="35"/>
      <c r="G524" s="35"/>
      <c r="H524" s="35"/>
      <c r="I524" s="38"/>
      <c r="J524" s="37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</row>
    <row r="525">
      <c r="A525" s="35"/>
      <c r="B525" s="37"/>
      <c r="C525" s="37"/>
      <c r="D525" s="35"/>
      <c r="E525" s="35"/>
      <c r="F525" s="35"/>
      <c r="G525" s="35"/>
      <c r="H525" s="35"/>
      <c r="I525" s="38"/>
      <c r="J525" s="37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</row>
    <row r="526">
      <c r="A526" s="35"/>
      <c r="B526" s="37"/>
      <c r="C526" s="37"/>
      <c r="D526" s="35"/>
      <c r="E526" s="35"/>
      <c r="F526" s="35"/>
      <c r="G526" s="35"/>
      <c r="H526" s="35"/>
      <c r="I526" s="38"/>
      <c r="J526" s="37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</row>
    <row r="527">
      <c r="A527" s="35"/>
      <c r="B527" s="37"/>
      <c r="C527" s="37"/>
      <c r="D527" s="35"/>
      <c r="E527" s="35"/>
      <c r="F527" s="35"/>
      <c r="G527" s="35"/>
      <c r="H527" s="35"/>
      <c r="I527" s="38"/>
      <c r="J527" s="37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</row>
    <row r="528">
      <c r="A528" s="35"/>
      <c r="B528" s="37"/>
      <c r="C528" s="37"/>
      <c r="D528" s="35"/>
      <c r="E528" s="35"/>
      <c r="F528" s="35"/>
      <c r="G528" s="35"/>
      <c r="H528" s="35"/>
      <c r="I528" s="38"/>
      <c r="J528" s="37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</row>
    <row r="529">
      <c r="A529" s="35"/>
      <c r="B529" s="37"/>
      <c r="C529" s="37"/>
      <c r="D529" s="35"/>
      <c r="E529" s="35"/>
      <c r="F529" s="35"/>
      <c r="G529" s="35"/>
      <c r="H529" s="35"/>
      <c r="I529" s="38"/>
      <c r="J529" s="37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</row>
    <row r="530">
      <c r="A530" s="35"/>
      <c r="B530" s="37"/>
      <c r="C530" s="37"/>
      <c r="D530" s="35"/>
      <c r="E530" s="35"/>
      <c r="F530" s="35"/>
      <c r="G530" s="35"/>
      <c r="H530" s="35"/>
      <c r="I530" s="38"/>
      <c r="J530" s="37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</row>
    <row r="531">
      <c r="A531" s="35"/>
      <c r="B531" s="37"/>
      <c r="C531" s="37"/>
      <c r="D531" s="35"/>
      <c r="E531" s="35"/>
      <c r="F531" s="35"/>
      <c r="G531" s="35"/>
      <c r="H531" s="35"/>
      <c r="I531" s="38"/>
      <c r="J531" s="37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</row>
    <row r="532">
      <c r="A532" s="35"/>
      <c r="B532" s="37"/>
      <c r="C532" s="37"/>
      <c r="D532" s="35"/>
      <c r="E532" s="35"/>
      <c r="F532" s="35"/>
      <c r="G532" s="35"/>
      <c r="H532" s="35"/>
      <c r="I532" s="38"/>
      <c r="J532" s="37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</row>
    <row r="533">
      <c r="A533" s="35"/>
      <c r="B533" s="37"/>
      <c r="C533" s="37"/>
      <c r="D533" s="35"/>
      <c r="E533" s="35"/>
      <c r="F533" s="35"/>
      <c r="G533" s="35"/>
      <c r="H533" s="35"/>
      <c r="I533" s="38"/>
      <c r="J533" s="37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</row>
    <row r="534">
      <c r="A534" s="35"/>
      <c r="B534" s="37"/>
      <c r="C534" s="37"/>
      <c r="D534" s="35"/>
      <c r="E534" s="35"/>
      <c r="F534" s="35"/>
      <c r="G534" s="35"/>
      <c r="H534" s="35"/>
      <c r="I534" s="38"/>
      <c r="J534" s="37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</row>
    <row r="535">
      <c r="A535" s="35"/>
      <c r="B535" s="37"/>
      <c r="C535" s="37"/>
      <c r="D535" s="35"/>
      <c r="E535" s="35"/>
      <c r="F535" s="35"/>
      <c r="G535" s="35"/>
      <c r="H535" s="35"/>
      <c r="I535" s="38"/>
      <c r="J535" s="37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</row>
    <row r="536">
      <c r="A536" s="35"/>
      <c r="B536" s="37"/>
      <c r="C536" s="37"/>
      <c r="D536" s="35"/>
      <c r="E536" s="35"/>
      <c r="F536" s="35"/>
      <c r="G536" s="35"/>
      <c r="H536" s="35"/>
      <c r="I536" s="38"/>
      <c r="J536" s="37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</row>
    <row r="537">
      <c r="A537" s="35"/>
      <c r="B537" s="37"/>
      <c r="C537" s="37"/>
      <c r="D537" s="35"/>
      <c r="E537" s="35"/>
      <c r="F537" s="35"/>
      <c r="G537" s="35"/>
      <c r="H537" s="35"/>
      <c r="I537" s="38"/>
      <c r="J537" s="37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</row>
    <row r="538">
      <c r="A538" s="35"/>
      <c r="B538" s="37"/>
      <c r="C538" s="37"/>
      <c r="D538" s="35"/>
      <c r="E538" s="35"/>
      <c r="F538" s="35"/>
      <c r="G538" s="35"/>
      <c r="H538" s="35"/>
      <c r="I538" s="38"/>
      <c r="J538" s="37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</row>
    <row r="539">
      <c r="A539" s="35"/>
      <c r="B539" s="37"/>
      <c r="C539" s="37"/>
      <c r="D539" s="35"/>
      <c r="E539" s="35"/>
      <c r="F539" s="35"/>
      <c r="G539" s="35"/>
      <c r="H539" s="35"/>
      <c r="I539" s="38"/>
      <c r="J539" s="37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</row>
    <row r="540">
      <c r="A540" s="35"/>
      <c r="B540" s="37"/>
      <c r="C540" s="37"/>
      <c r="D540" s="35"/>
      <c r="E540" s="35"/>
      <c r="F540" s="35"/>
      <c r="G540" s="35"/>
      <c r="H540" s="35"/>
      <c r="I540" s="38"/>
      <c r="J540" s="37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</row>
    <row r="541">
      <c r="A541" s="35"/>
      <c r="B541" s="37"/>
      <c r="C541" s="37"/>
      <c r="D541" s="35"/>
      <c r="E541" s="35"/>
      <c r="F541" s="35"/>
      <c r="G541" s="35"/>
      <c r="H541" s="35"/>
      <c r="I541" s="38"/>
      <c r="J541" s="37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</row>
    <row r="542">
      <c r="A542" s="35"/>
      <c r="B542" s="37"/>
      <c r="C542" s="37"/>
      <c r="D542" s="35"/>
      <c r="E542" s="35"/>
      <c r="F542" s="35"/>
      <c r="G542" s="35"/>
      <c r="H542" s="35"/>
      <c r="I542" s="38"/>
      <c r="J542" s="37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</row>
    <row r="543">
      <c r="A543" s="35"/>
      <c r="B543" s="37"/>
      <c r="C543" s="37"/>
      <c r="D543" s="35"/>
      <c r="E543" s="35"/>
      <c r="F543" s="35"/>
      <c r="G543" s="35"/>
      <c r="H543" s="35"/>
      <c r="I543" s="38"/>
      <c r="J543" s="37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</row>
    <row r="544">
      <c r="A544" s="35"/>
      <c r="B544" s="37"/>
      <c r="C544" s="37"/>
      <c r="D544" s="35"/>
      <c r="E544" s="35"/>
      <c r="F544" s="35"/>
      <c r="G544" s="35"/>
      <c r="H544" s="35"/>
      <c r="I544" s="38"/>
      <c r="J544" s="37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</row>
    <row r="545">
      <c r="A545" s="35"/>
      <c r="B545" s="37"/>
      <c r="C545" s="37"/>
      <c r="D545" s="35"/>
      <c r="E545" s="35"/>
      <c r="F545" s="35"/>
      <c r="G545" s="35"/>
      <c r="H545" s="35"/>
      <c r="I545" s="38"/>
      <c r="J545" s="37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</row>
    <row r="546">
      <c r="A546" s="35"/>
      <c r="B546" s="37"/>
      <c r="C546" s="37"/>
      <c r="D546" s="35"/>
      <c r="E546" s="35"/>
      <c r="F546" s="35"/>
      <c r="G546" s="35"/>
      <c r="H546" s="35"/>
      <c r="I546" s="38"/>
      <c r="J546" s="37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</row>
    <row r="547">
      <c r="A547" s="35"/>
      <c r="B547" s="37"/>
      <c r="C547" s="37"/>
      <c r="D547" s="35"/>
      <c r="E547" s="35"/>
      <c r="F547" s="35"/>
      <c r="G547" s="35"/>
      <c r="H547" s="35"/>
      <c r="I547" s="38"/>
      <c r="J547" s="37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</row>
    <row r="548">
      <c r="A548" s="35"/>
      <c r="B548" s="37"/>
      <c r="C548" s="37"/>
      <c r="D548" s="35"/>
      <c r="E548" s="35"/>
      <c r="F548" s="35"/>
      <c r="G548" s="35"/>
      <c r="H548" s="35"/>
      <c r="I548" s="38"/>
      <c r="J548" s="37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</row>
    <row r="549">
      <c r="A549" s="35"/>
      <c r="B549" s="37"/>
      <c r="C549" s="37"/>
      <c r="D549" s="35"/>
      <c r="E549" s="35"/>
      <c r="F549" s="35"/>
      <c r="G549" s="35"/>
      <c r="H549" s="35"/>
      <c r="I549" s="38"/>
      <c r="J549" s="37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</row>
    <row r="550">
      <c r="A550" s="35"/>
      <c r="B550" s="37"/>
      <c r="C550" s="37"/>
      <c r="D550" s="35"/>
      <c r="E550" s="35"/>
      <c r="F550" s="35"/>
      <c r="G550" s="35"/>
      <c r="H550" s="35"/>
      <c r="I550" s="38"/>
      <c r="J550" s="37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</row>
    <row r="551">
      <c r="A551" s="35"/>
      <c r="B551" s="37"/>
      <c r="C551" s="37"/>
      <c r="D551" s="35"/>
      <c r="E551" s="35"/>
      <c r="F551" s="35"/>
      <c r="G551" s="35"/>
      <c r="H551" s="35"/>
      <c r="I551" s="38"/>
      <c r="J551" s="37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</row>
    <row r="552">
      <c r="A552" s="35"/>
      <c r="B552" s="37"/>
      <c r="C552" s="37"/>
      <c r="D552" s="35"/>
      <c r="E552" s="35"/>
      <c r="F552" s="35"/>
      <c r="G552" s="35"/>
      <c r="H552" s="35"/>
      <c r="I552" s="38"/>
      <c r="J552" s="37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</row>
    <row r="553">
      <c r="A553" s="35"/>
      <c r="B553" s="37"/>
      <c r="C553" s="37"/>
      <c r="D553" s="35"/>
      <c r="E553" s="35"/>
      <c r="F553" s="35"/>
      <c r="G553" s="35"/>
      <c r="H553" s="35"/>
      <c r="I553" s="38"/>
      <c r="J553" s="37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</row>
    <row r="554">
      <c r="A554" s="35"/>
      <c r="B554" s="37"/>
      <c r="C554" s="37"/>
      <c r="D554" s="35"/>
      <c r="E554" s="35"/>
      <c r="F554" s="35"/>
      <c r="G554" s="35"/>
      <c r="H554" s="35"/>
      <c r="I554" s="38"/>
      <c r="J554" s="37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</row>
    <row r="555">
      <c r="A555" s="35"/>
      <c r="B555" s="37"/>
      <c r="C555" s="37"/>
      <c r="D555" s="35"/>
      <c r="E555" s="35"/>
      <c r="F555" s="35"/>
      <c r="G555" s="35"/>
      <c r="H555" s="35"/>
      <c r="I555" s="38"/>
      <c r="J555" s="37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</row>
    <row r="556">
      <c r="A556" s="35"/>
      <c r="B556" s="37"/>
      <c r="C556" s="37"/>
      <c r="D556" s="35"/>
      <c r="E556" s="35"/>
      <c r="F556" s="35"/>
      <c r="G556" s="35"/>
      <c r="H556" s="35"/>
      <c r="I556" s="38"/>
      <c r="J556" s="37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</row>
    <row r="557">
      <c r="A557" s="35"/>
      <c r="B557" s="37"/>
      <c r="C557" s="37"/>
      <c r="D557" s="35"/>
      <c r="E557" s="35"/>
      <c r="F557" s="35"/>
      <c r="G557" s="35"/>
      <c r="H557" s="35"/>
      <c r="I557" s="38"/>
      <c r="J557" s="37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</row>
    <row r="558">
      <c r="A558" s="35"/>
      <c r="B558" s="37"/>
      <c r="C558" s="37"/>
      <c r="D558" s="35"/>
      <c r="E558" s="35"/>
      <c r="F558" s="35"/>
      <c r="G558" s="35"/>
      <c r="H558" s="35"/>
      <c r="I558" s="38"/>
      <c r="J558" s="37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</row>
    <row r="559">
      <c r="A559" s="35"/>
      <c r="B559" s="37"/>
      <c r="C559" s="37"/>
      <c r="D559" s="35"/>
      <c r="E559" s="35"/>
      <c r="F559" s="35"/>
      <c r="G559" s="35"/>
      <c r="H559" s="35"/>
      <c r="I559" s="38"/>
      <c r="J559" s="37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</row>
    <row r="560">
      <c r="A560" s="35"/>
      <c r="B560" s="37"/>
      <c r="C560" s="37"/>
      <c r="D560" s="35"/>
      <c r="E560" s="35"/>
      <c r="F560" s="35"/>
      <c r="G560" s="35"/>
      <c r="H560" s="35"/>
      <c r="I560" s="38"/>
      <c r="J560" s="37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</row>
    <row r="561">
      <c r="A561" s="35"/>
      <c r="B561" s="37"/>
      <c r="C561" s="37"/>
      <c r="D561" s="35"/>
      <c r="E561" s="35"/>
      <c r="F561" s="35"/>
      <c r="G561" s="35"/>
      <c r="H561" s="35"/>
      <c r="I561" s="38"/>
      <c r="J561" s="37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</row>
    <row r="562">
      <c r="A562" s="35"/>
      <c r="B562" s="37"/>
      <c r="C562" s="37"/>
      <c r="D562" s="35"/>
      <c r="E562" s="35"/>
      <c r="F562" s="35"/>
      <c r="G562" s="35"/>
      <c r="H562" s="35"/>
      <c r="I562" s="38"/>
      <c r="J562" s="37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</row>
    <row r="563">
      <c r="A563" s="35"/>
      <c r="B563" s="37"/>
      <c r="C563" s="37"/>
      <c r="D563" s="35"/>
      <c r="E563" s="35"/>
      <c r="F563" s="35"/>
      <c r="G563" s="35"/>
      <c r="H563" s="35"/>
      <c r="I563" s="38"/>
      <c r="J563" s="37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</row>
    <row r="564">
      <c r="A564" s="35"/>
      <c r="B564" s="37"/>
      <c r="C564" s="37"/>
      <c r="D564" s="35"/>
      <c r="E564" s="35"/>
      <c r="F564" s="35"/>
      <c r="G564" s="35"/>
      <c r="H564" s="35"/>
      <c r="I564" s="38"/>
      <c r="J564" s="37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</row>
    <row r="565">
      <c r="A565" s="35"/>
      <c r="B565" s="37"/>
      <c r="C565" s="37"/>
      <c r="D565" s="35"/>
      <c r="E565" s="35"/>
      <c r="F565" s="35"/>
      <c r="G565" s="35"/>
      <c r="H565" s="35"/>
      <c r="I565" s="38"/>
      <c r="J565" s="37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</row>
    <row r="566">
      <c r="A566" s="35"/>
      <c r="B566" s="37"/>
      <c r="C566" s="37"/>
      <c r="D566" s="35"/>
      <c r="E566" s="35"/>
      <c r="F566" s="35"/>
      <c r="G566" s="35"/>
      <c r="H566" s="35"/>
      <c r="I566" s="38"/>
      <c r="J566" s="37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</row>
    <row r="567">
      <c r="A567" s="35"/>
      <c r="B567" s="37"/>
      <c r="C567" s="37"/>
      <c r="D567" s="35"/>
      <c r="E567" s="35"/>
      <c r="F567" s="35"/>
      <c r="G567" s="35"/>
      <c r="H567" s="35"/>
      <c r="I567" s="38"/>
      <c r="J567" s="37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</row>
    <row r="568">
      <c r="A568" s="35"/>
      <c r="B568" s="37"/>
      <c r="C568" s="37"/>
      <c r="D568" s="35"/>
      <c r="E568" s="35"/>
      <c r="F568" s="35"/>
      <c r="G568" s="35"/>
      <c r="H568" s="35"/>
      <c r="I568" s="38"/>
      <c r="J568" s="37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</row>
    <row r="569">
      <c r="A569" s="35"/>
      <c r="B569" s="37"/>
      <c r="C569" s="37"/>
      <c r="D569" s="35"/>
      <c r="E569" s="35"/>
      <c r="F569" s="35"/>
      <c r="G569" s="35"/>
      <c r="H569" s="35"/>
      <c r="I569" s="38"/>
      <c r="J569" s="37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</row>
    <row r="570">
      <c r="A570" s="35"/>
      <c r="B570" s="37"/>
      <c r="C570" s="37"/>
      <c r="D570" s="35"/>
      <c r="E570" s="35"/>
      <c r="F570" s="35"/>
      <c r="G570" s="35"/>
      <c r="H570" s="35"/>
      <c r="I570" s="38"/>
      <c r="J570" s="37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</row>
    <row r="571">
      <c r="A571" s="35"/>
      <c r="B571" s="37"/>
      <c r="C571" s="37"/>
      <c r="D571" s="35"/>
      <c r="E571" s="35"/>
      <c r="F571" s="35"/>
      <c r="G571" s="35"/>
      <c r="H571" s="35"/>
      <c r="I571" s="38"/>
      <c r="J571" s="37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</row>
    <row r="572">
      <c r="A572" s="35"/>
      <c r="B572" s="37"/>
      <c r="C572" s="37"/>
      <c r="D572" s="35"/>
      <c r="E572" s="35"/>
      <c r="F572" s="35"/>
      <c r="G572" s="35"/>
      <c r="H572" s="35"/>
      <c r="I572" s="38"/>
      <c r="J572" s="37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</row>
    <row r="573">
      <c r="A573" s="35"/>
      <c r="B573" s="37"/>
      <c r="C573" s="37"/>
      <c r="D573" s="35"/>
      <c r="E573" s="35"/>
      <c r="F573" s="35"/>
      <c r="G573" s="35"/>
      <c r="H573" s="35"/>
      <c r="I573" s="38"/>
      <c r="J573" s="37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</row>
    <row r="574">
      <c r="A574" s="35"/>
      <c r="B574" s="37"/>
      <c r="C574" s="37"/>
      <c r="D574" s="35"/>
      <c r="E574" s="35"/>
      <c r="F574" s="35"/>
      <c r="G574" s="35"/>
      <c r="H574" s="35"/>
      <c r="I574" s="38"/>
      <c r="J574" s="37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</row>
    <row r="575">
      <c r="A575" s="35"/>
      <c r="B575" s="37"/>
      <c r="C575" s="37"/>
      <c r="D575" s="35"/>
      <c r="E575" s="35"/>
      <c r="F575" s="35"/>
      <c r="G575" s="35"/>
      <c r="H575" s="35"/>
      <c r="I575" s="38"/>
      <c r="J575" s="37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</row>
    <row r="576">
      <c r="A576" s="35"/>
      <c r="B576" s="37"/>
      <c r="C576" s="37"/>
      <c r="D576" s="35"/>
      <c r="E576" s="35"/>
      <c r="F576" s="35"/>
      <c r="G576" s="35"/>
      <c r="H576" s="35"/>
      <c r="I576" s="38"/>
      <c r="J576" s="37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</row>
    <row r="577">
      <c r="A577" s="35"/>
      <c r="B577" s="37"/>
      <c r="C577" s="37"/>
      <c r="D577" s="35"/>
      <c r="E577" s="35"/>
      <c r="F577" s="35"/>
      <c r="G577" s="35"/>
      <c r="H577" s="35"/>
      <c r="I577" s="38"/>
      <c r="J577" s="37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</row>
    <row r="578">
      <c r="A578" s="35"/>
      <c r="B578" s="37"/>
      <c r="C578" s="37"/>
      <c r="D578" s="35"/>
      <c r="E578" s="35"/>
      <c r="F578" s="35"/>
      <c r="G578" s="35"/>
      <c r="H578" s="35"/>
      <c r="I578" s="38"/>
      <c r="J578" s="37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</row>
    <row r="579">
      <c r="A579" s="35"/>
      <c r="B579" s="37"/>
      <c r="C579" s="37"/>
      <c r="D579" s="35"/>
      <c r="E579" s="35"/>
      <c r="F579" s="35"/>
      <c r="G579" s="35"/>
      <c r="H579" s="35"/>
      <c r="I579" s="38"/>
      <c r="J579" s="37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</row>
    <row r="580">
      <c r="A580" s="35"/>
      <c r="B580" s="37"/>
      <c r="C580" s="37"/>
      <c r="D580" s="35"/>
      <c r="E580" s="35"/>
      <c r="F580" s="35"/>
      <c r="G580" s="35"/>
      <c r="H580" s="35"/>
      <c r="I580" s="38"/>
      <c r="J580" s="37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</row>
    <row r="581">
      <c r="A581" s="35"/>
      <c r="B581" s="37"/>
      <c r="C581" s="37"/>
      <c r="D581" s="35"/>
      <c r="E581" s="35"/>
      <c r="F581" s="35"/>
      <c r="G581" s="35"/>
      <c r="H581" s="35"/>
      <c r="I581" s="38"/>
      <c r="J581" s="37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</row>
    <row r="582">
      <c r="A582" s="35"/>
      <c r="B582" s="37"/>
      <c r="C582" s="37"/>
      <c r="D582" s="35"/>
      <c r="E582" s="35"/>
      <c r="F582" s="35"/>
      <c r="G582" s="35"/>
      <c r="H582" s="35"/>
      <c r="I582" s="38"/>
      <c r="J582" s="37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</row>
    <row r="583">
      <c r="A583" s="35"/>
      <c r="B583" s="37"/>
      <c r="C583" s="37"/>
      <c r="D583" s="35"/>
      <c r="E583" s="35"/>
      <c r="F583" s="35"/>
      <c r="G583" s="35"/>
      <c r="H583" s="35"/>
      <c r="I583" s="38"/>
      <c r="J583" s="37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</row>
    <row r="584">
      <c r="A584" s="35"/>
      <c r="B584" s="37"/>
      <c r="C584" s="37"/>
      <c r="D584" s="35"/>
      <c r="E584" s="35"/>
      <c r="F584" s="35"/>
      <c r="G584" s="35"/>
      <c r="H584" s="35"/>
      <c r="I584" s="38"/>
      <c r="J584" s="37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</row>
    <row r="585">
      <c r="A585" s="35"/>
      <c r="B585" s="37"/>
      <c r="C585" s="37"/>
      <c r="D585" s="35"/>
      <c r="E585" s="35"/>
      <c r="F585" s="35"/>
      <c r="G585" s="35"/>
      <c r="H585" s="35"/>
      <c r="I585" s="38"/>
      <c r="J585" s="37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</row>
    <row r="586">
      <c r="A586" s="35"/>
      <c r="B586" s="37"/>
      <c r="C586" s="37"/>
      <c r="D586" s="35"/>
      <c r="E586" s="35"/>
      <c r="F586" s="35"/>
      <c r="G586" s="35"/>
      <c r="H586" s="35"/>
      <c r="I586" s="38"/>
      <c r="J586" s="37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</row>
    <row r="587">
      <c r="A587" s="35"/>
      <c r="B587" s="37"/>
      <c r="C587" s="37"/>
      <c r="D587" s="35"/>
      <c r="E587" s="35"/>
      <c r="F587" s="35"/>
      <c r="G587" s="35"/>
      <c r="H587" s="35"/>
      <c r="I587" s="38"/>
      <c r="J587" s="37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</row>
    <row r="588">
      <c r="A588" s="35"/>
      <c r="B588" s="37"/>
      <c r="C588" s="37"/>
      <c r="D588" s="35"/>
      <c r="E588" s="35"/>
      <c r="F588" s="35"/>
      <c r="G588" s="35"/>
      <c r="H588" s="35"/>
      <c r="I588" s="38"/>
      <c r="J588" s="37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</row>
    <row r="589">
      <c r="A589" s="35"/>
      <c r="B589" s="37"/>
      <c r="C589" s="37"/>
      <c r="D589" s="35"/>
      <c r="E589" s="35"/>
      <c r="F589" s="35"/>
      <c r="G589" s="35"/>
      <c r="H589" s="35"/>
      <c r="I589" s="38"/>
      <c r="J589" s="37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</row>
    <row r="590">
      <c r="A590" s="35"/>
      <c r="B590" s="37"/>
      <c r="C590" s="37"/>
      <c r="D590" s="35"/>
      <c r="E590" s="35"/>
      <c r="F590" s="35"/>
      <c r="G590" s="35"/>
      <c r="H590" s="35"/>
      <c r="I590" s="38"/>
      <c r="J590" s="37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</row>
    <row r="591">
      <c r="A591" s="35"/>
      <c r="B591" s="37"/>
      <c r="C591" s="37"/>
      <c r="D591" s="35"/>
      <c r="E591" s="35"/>
      <c r="F591" s="35"/>
      <c r="G591" s="35"/>
      <c r="H591" s="35"/>
      <c r="I591" s="38"/>
      <c r="J591" s="37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</row>
    <row r="592">
      <c r="A592" s="35"/>
      <c r="B592" s="37"/>
      <c r="C592" s="37"/>
      <c r="D592" s="35"/>
      <c r="E592" s="35"/>
      <c r="F592" s="35"/>
      <c r="G592" s="35"/>
      <c r="H592" s="35"/>
      <c r="I592" s="38"/>
      <c r="J592" s="37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</row>
    <row r="593">
      <c r="A593" s="35"/>
      <c r="B593" s="37"/>
      <c r="C593" s="37"/>
      <c r="D593" s="35"/>
      <c r="E593" s="35"/>
      <c r="F593" s="35"/>
      <c r="G593" s="35"/>
      <c r="H593" s="35"/>
      <c r="I593" s="38"/>
      <c r="J593" s="37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</row>
    <row r="594">
      <c r="A594" s="35"/>
      <c r="B594" s="37"/>
      <c r="C594" s="37"/>
      <c r="D594" s="35"/>
      <c r="E594" s="35"/>
      <c r="F594" s="35"/>
      <c r="G594" s="35"/>
      <c r="H594" s="35"/>
      <c r="I594" s="38"/>
      <c r="J594" s="37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</row>
    <row r="595">
      <c r="A595" s="35"/>
      <c r="B595" s="37"/>
      <c r="C595" s="37"/>
      <c r="D595" s="35"/>
      <c r="E595" s="35"/>
      <c r="F595" s="35"/>
      <c r="G595" s="35"/>
      <c r="H595" s="35"/>
      <c r="I595" s="38"/>
      <c r="J595" s="37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</row>
    <row r="596">
      <c r="A596" s="35"/>
      <c r="B596" s="37"/>
      <c r="C596" s="37"/>
      <c r="D596" s="35"/>
      <c r="E596" s="35"/>
      <c r="F596" s="35"/>
      <c r="G596" s="35"/>
      <c r="H596" s="35"/>
      <c r="I596" s="38"/>
      <c r="J596" s="37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</row>
    <row r="597">
      <c r="A597" s="35"/>
      <c r="B597" s="37"/>
      <c r="C597" s="37"/>
      <c r="D597" s="35"/>
      <c r="E597" s="35"/>
      <c r="F597" s="35"/>
      <c r="G597" s="35"/>
      <c r="H597" s="35"/>
      <c r="I597" s="38"/>
      <c r="J597" s="37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</row>
    <row r="598">
      <c r="A598" s="35"/>
      <c r="B598" s="37"/>
      <c r="C598" s="37"/>
      <c r="D598" s="35"/>
      <c r="E598" s="35"/>
      <c r="F598" s="35"/>
      <c r="G598" s="35"/>
      <c r="H598" s="35"/>
      <c r="I598" s="38"/>
      <c r="J598" s="37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</row>
    <row r="599">
      <c r="A599" s="35"/>
      <c r="B599" s="37"/>
      <c r="C599" s="37"/>
      <c r="D599" s="35"/>
      <c r="E599" s="35"/>
      <c r="F599" s="35"/>
      <c r="G599" s="35"/>
      <c r="H599" s="35"/>
      <c r="I599" s="38"/>
      <c r="J599" s="37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</row>
    <row r="600">
      <c r="A600" s="35"/>
      <c r="B600" s="37"/>
      <c r="C600" s="37"/>
      <c r="D600" s="35"/>
      <c r="E600" s="35"/>
      <c r="F600" s="35"/>
      <c r="G600" s="35"/>
      <c r="H600" s="35"/>
      <c r="I600" s="38"/>
      <c r="J600" s="37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</row>
    <row r="601">
      <c r="A601" s="35"/>
      <c r="B601" s="37"/>
      <c r="C601" s="37"/>
      <c r="D601" s="35"/>
      <c r="E601" s="35"/>
      <c r="F601" s="35"/>
      <c r="G601" s="35"/>
      <c r="H601" s="35"/>
      <c r="I601" s="38"/>
      <c r="J601" s="37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</row>
    <row r="602">
      <c r="A602" s="35"/>
      <c r="B602" s="37"/>
      <c r="C602" s="37"/>
      <c r="D602" s="35"/>
      <c r="E602" s="35"/>
      <c r="F602" s="35"/>
      <c r="G602" s="35"/>
      <c r="H602" s="35"/>
      <c r="I602" s="38"/>
      <c r="J602" s="37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</row>
    <row r="603">
      <c r="A603" s="35"/>
      <c r="B603" s="37"/>
      <c r="C603" s="37"/>
      <c r="D603" s="35"/>
      <c r="E603" s="35"/>
      <c r="F603" s="35"/>
      <c r="G603" s="35"/>
      <c r="H603" s="35"/>
      <c r="I603" s="38"/>
      <c r="J603" s="37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</row>
    <row r="604">
      <c r="A604" s="35"/>
      <c r="B604" s="37"/>
      <c r="C604" s="37"/>
      <c r="D604" s="35"/>
      <c r="E604" s="35"/>
      <c r="F604" s="35"/>
      <c r="G604" s="35"/>
      <c r="H604" s="35"/>
      <c r="I604" s="38"/>
      <c r="J604" s="37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</row>
    <row r="605">
      <c r="A605" s="35"/>
      <c r="B605" s="37"/>
      <c r="C605" s="37"/>
      <c r="D605" s="35"/>
      <c r="E605" s="35"/>
      <c r="F605" s="35"/>
      <c r="G605" s="35"/>
      <c r="H605" s="35"/>
      <c r="I605" s="38"/>
      <c r="J605" s="37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</row>
    <row r="606">
      <c r="A606" s="35"/>
      <c r="B606" s="37"/>
      <c r="C606" s="37"/>
      <c r="D606" s="35"/>
      <c r="E606" s="35"/>
      <c r="F606" s="35"/>
      <c r="G606" s="35"/>
      <c r="H606" s="35"/>
      <c r="I606" s="38"/>
      <c r="J606" s="37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</row>
    <row r="607">
      <c r="A607" s="35"/>
      <c r="B607" s="37"/>
      <c r="C607" s="37"/>
      <c r="D607" s="35"/>
      <c r="E607" s="35"/>
      <c r="F607" s="35"/>
      <c r="G607" s="35"/>
      <c r="H607" s="35"/>
      <c r="I607" s="38"/>
      <c r="J607" s="37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</row>
    <row r="608">
      <c r="A608" s="35"/>
      <c r="B608" s="37"/>
      <c r="C608" s="37"/>
      <c r="D608" s="35"/>
      <c r="E608" s="35"/>
      <c r="F608" s="35"/>
      <c r="G608" s="35"/>
      <c r="H608" s="35"/>
      <c r="I608" s="38"/>
      <c r="J608" s="37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</row>
    <row r="609">
      <c r="A609" s="35"/>
      <c r="B609" s="37"/>
      <c r="C609" s="37"/>
      <c r="D609" s="35"/>
      <c r="E609" s="35"/>
      <c r="F609" s="35"/>
      <c r="G609" s="35"/>
      <c r="H609" s="35"/>
      <c r="I609" s="38"/>
      <c r="J609" s="37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</row>
    <row r="610">
      <c r="A610" s="35"/>
      <c r="B610" s="37"/>
      <c r="C610" s="37"/>
      <c r="D610" s="35"/>
      <c r="E610" s="35"/>
      <c r="F610" s="35"/>
      <c r="G610" s="35"/>
      <c r="H610" s="35"/>
      <c r="I610" s="38"/>
      <c r="J610" s="37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</row>
    <row r="611">
      <c r="A611" s="35"/>
      <c r="B611" s="37"/>
      <c r="C611" s="37"/>
      <c r="D611" s="35"/>
      <c r="E611" s="35"/>
      <c r="F611" s="35"/>
      <c r="G611" s="35"/>
      <c r="H611" s="35"/>
      <c r="I611" s="38"/>
      <c r="J611" s="37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</row>
    <row r="612">
      <c r="A612" s="35"/>
      <c r="B612" s="37"/>
      <c r="C612" s="37"/>
      <c r="D612" s="35"/>
      <c r="E612" s="35"/>
      <c r="F612" s="35"/>
      <c r="G612" s="35"/>
      <c r="H612" s="35"/>
      <c r="I612" s="38"/>
      <c r="J612" s="37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</row>
    <row r="613">
      <c r="A613" s="35"/>
      <c r="B613" s="37"/>
      <c r="C613" s="37"/>
      <c r="D613" s="35"/>
      <c r="E613" s="35"/>
      <c r="F613" s="35"/>
      <c r="G613" s="35"/>
      <c r="H613" s="35"/>
      <c r="I613" s="38"/>
      <c r="J613" s="37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</row>
    <row r="614">
      <c r="A614" s="35"/>
      <c r="B614" s="37"/>
      <c r="C614" s="37"/>
      <c r="D614" s="35"/>
      <c r="E614" s="35"/>
      <c r="F614" s="35"/>
      <c r="G614" s="35"/>
      <c r="H614" s="35"/>
      <c r="I614" s="38"/>
      <c r="J614" s="37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</row>
    <row r="615">
      <c r="A615" s="35"/>
      <c r="B615" s="37"/>
      <c r="C615" s="37"/>
      <c r="D615" s="35"/>
      <c r="E615" s="35"/>
      <c r="F615" s="35"/>
      <c r="G615" s="35"/>
      <c r="H615" s="35"/>
      <c r="I615" s="38"/>
      <c r="J615" s="37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</row>
    <row r="616">
      <c r="A616" s="35"/>
      <c r="B616" s="37"/>
      <c r="C616" s="37"/>
      <c r="D616" s="35"/>
      <c r="E616" s="35"/>
      <c r="F616" s="35"/>
      <c r="G616" s="35"/>
      <c r="H616" s="35"/>
      <c r="I616" s="38"/>
      <c r="J616" s="37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</row>
    <row r="617">
      <c r="A617" s="35"/>
      <c r="B617" s="37"/>
      <c r="C617" s="37"/>
      <c r="D617" s="35"/>
      <c r="E617" s="35"/>
      <c r="F617" s="35"/>
      <c r="G617" s="35"/>
      <c r="H617" s="35"/>
      <c r="I617" s="38"/>
      <c r="J617" s="37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</row>
    <row r="618">
      <c r="A618" s="35"/>
      <c r="B618" s="37"/>
      <c r="C618" s="37"/>
      <c r="D618" s="35"/>
      <c r="E618" s="35"/>
      <c r="F618" s="35"/>
      <c r="G618" s="35"/>
      <c r="H618" s="35"/>
      <c r="I618" s="38"/>
      <c r="J618" s="37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</row>
    <row r="619">
      <c r="A619" s="35"/>
      <c r="B619" s="37"/>
      <c r="C619" s="37"/>
      <c r="D619" s="35"/>
      <c r="E619" s="35"/>
      <c r="F619" s="35"/>
      <c r="G619" s="35"/>
      <c r="H619" s="35"/>
      <c r="I619" s="38"/>
      <c r="J619" s="37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</row>
    <row r="620">
      <c r="A620" s="35"/>
      <c r="B620" s="37"/>
      <c r="C620" s="37"/>
      <c r="D620" s="35"/>
      <c r="E620" s="35"/>
      <c r="F620" s="35"/>
      <c r="G620" s="35"/>
      <c r="H620" s="35"/>
      <c r="I620" s="38"/>
      <c r="J620" s="37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</row>
    <row r="621">
      <c r="A621" s="35"/>
      <c r="B621" s="37"/>
      <c r="C621" s="37"/>
      <c r="D621" s="35"/>
      <c r="E621" s="35"/>
      <c r="F621" s="35"/>
      <c r="G621" s="35"/>
      <c r="H621" s="35"/>
      <c r="I621" s="38"/>
      <c r="J621" s="37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</row>
    <row r="622">
      <c r="A622" s="35"/>
      <c r="B622" s="37"/>
      <c r="C622" s="37"/>
      <c r="D622" s="35"/>
      <c r="E622" s="35"/>
      <c r="F622" s="35"/>
      <c r="G622" s="35"/>
      <c r="H622" s="35"/>
      <c r="I622" s="38"/>
      <c r="J622" s="37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</row>
    <row r="623">
      <c r="A623" s="35"/>
      <c r="B623" s="37"/>
      <c r="C623" s="37"/>
      <c r="D623" s="35"/>
      <c r="E623" s="35"/>
      <c r="F623" s="35"/>
      <c r="G623" s="35"/>
      <c r="H623" s="35"/>
      <c r="I623" s="38"/>
      <c r="J623" s="37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</row>
    <row r="624">
      <c r="A624" s="35"/>
      <c r="B624" s="37"/>
      <c r="C624" s="37"/>
      <c r="D624" s="35"/>
      <c r="E624" s="35"/>
      <c r="F624" s="35"/>
      <c r="G624" s="35"/>
      <c r="H624" s="35"/>
      <c r="I624" s="38"/>
      <c r="J624" s="37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</row>
    <row r="625">
      <c r="A625" s="35"/>
      <c r="B625" s="37"/>
      <c r="C625" s="37"/>
      <c r="D625" s="35"/>
      <c r="E625" s="35"/>
      <c r="F625" s="35"/>
      <c r="G625" s="35"/>
      <c r="H625" s="35"/>
      <c r="I625" s="38"/>
      <c r="J625" s="37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</row>
    <row r="626">
      <c r="A626" s="35"/>
      <c r="B626" s="37"/>
      <c r="C626" s="37"/>
      <c r="D626" s="35"/>
      <c r="E626" s="35"/>
      <c r="F626" s="35"/>
      <c r="G626" s="35"/>
      <c r="H626" s="35"/>
      <c r="I626" s="38"/>
      <c r="J626" s="37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</row>
    <row r="627">
      <c r="A627" s="35"/>
      <c r="B627" s="37"/>
      <c r="C627" s="37"/>
      <c r="D627" s="35"/>
      <c r="E627" s="35"/>
      <c r="F627" s="35"/>
      <c r="G627" s="35"/>
      <c r="H627" s="35"/>
      <c r="I627" s="38"/>
      <c r="J627" s="37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</row>
    <row r="628">
      <c r="A628" s="35"/>
      <c r="B628" s="37"/>
      <c r="C628" s="37"/>
      <c r="D628" s="35"/>
      <c r="E628" s="35"/>
      <c r="F628" s="35"/>
      <c r="G628" s="35"/>
      <c r="H628" s="35"/>
      <c r="I628" s="38"/>
      <c r="J628" s="37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</row>
    <row r="629">
      <c r="A629" s="35"/>
      <c r="B629" s="37"/>
      <c r="C629" s="37"/>
      <c r="D629" s="35"/>
      <c r="E629" s="35"/>
      <c r="F629" s="35"/>
      <c r="G629" s="35"/>
      <c r="H629" s="35"/>
      <c r="I629" s="38"/>
      <c r="J629" s="37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</row>
    <row r="630">
      <c r="A630" s="35"/>
      <c r="B630" s="37"/>
      <c r="C630" s="37"/>
      <c r="D630" s="35"/>
      <c r="E630" s="35"/>
      <c r="F630" s="35"/>
      <c r="G630" s="35"/>
      <c r="H630" s="35"/>
      <c r="I630" s="38"/>
      <c r="J630" s="37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</row>
    <row r="631">
      <c r="A631" s="35"/>
      <c r="B631" s="37"/>
      <c r="C631" s="37"/>
      <c r="D631" s="35"/>
      <c r="E631" s="35"/>
      <c r="F631" s="35"/>
      <c r="G631" s="35"/>
      <c r="H631" s="35"/>
      <c r="I631" s="38"/>
      <c r="J631" s="37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</row>
    <row r="632">
      <c r="A632" s="35"/>
      <c r="B632" s="37"/>
      <c r="C632" s="37"/>
      <c r="D632" s="35"/>
      <c r="E632" s="35"/>
      <c r="F632" s="35"/>
      <c r="G632" s="35"/>
      <c r="H632" s="35"/>
      <c r="I632" s="38"/>
      <c r="J632" s="37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</row>
    <row r="633">
      <c r="A633" s="35"/>
      <c r="B633" s="37"/>
      <c r="C633" s="37"/>
      <c r="D633" s="35"/>
      <c r="E633" s="35"/>
      <c r="F633" s="35"/>
      <c r="G633" s="35"/>
      <c r="H633" s="35"/>
      <c r="I633" s="38"/>
      <c r="J633" s="37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</row>
    <row r="634">
      <c r="A634" s="35"/>
      <c r="B634" s="37"/>
      <c r="C634" s="37"/>
      <c r="D634" s="35"/>
      <c r="E634" s="35"/>
      <c r="F634" s="35"/>
      <c r="G634" s="35"/>
      <c r="H634" s="35"/>
      <c r="I634" s="38"/>
      <c r="J634" s="37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</row>
    <row r="635">
      <c r="A635" s="35"/>
      <c r="B635" s="37"/>
      <c r="C635" s="37"/>
      <c r="D635" s="35"/>
      <c r="E635" s="35"/>
      <c r="F635" s="35"/>
      <c r="G635" s="35"/>
      <c r="H635" s="35"/>
      <c r="I635" s="38"/>
      <c r="J635" s="37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</row>
    <row r="636">
      <c r="A636" s="35"/>
      <c r="B636" s="37"/>
      <c r="C636" s="37"/>
      <c r="D636" s="35"/>
      <c r="E636" s="35"/>
      <c r="F636" s="35"/>
      <c r="G636" s="35"/>
      <c r="H636" s="35"/>
      <c r="I636" s="38"/>
      <c r="J636" s="37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</row>
    <row r="637">
      <c r="A637" s="35"/>
      <c r="B637" s="37"/>
      <c r="C637" s="37"/>
      <c r="D637" s="35"/>
      <c r="E637" s="35"/>
      <c r="F637" s="35"/>
      <c r="G637" s="35"/>
      <c r="H637" s="35"/>
      <c r="I637" s="38"/>
      <c r="J637" s="37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</row>
    <row r="638">
      <c r="A638" s="35"/>
      <c r="B638" s="37"/>
      <c r="C638" s="37"/>
      <c r="D638" s="35"/>
      <c r="E638" s="35"/>
      <c r="F638" s="35"/>
      <c r="G638" s="35"/>
      <c r="H638" s="35"/>
      <c r="I638" s="38"/>
      <c r="J638" s="37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</row>
    <row r="639">
      <c r="A639" s="35"/>
      <c r="B639" s="37"/>
      <c r="C639" s="37"/>
      <c r="D639" s="35"/>
      <c r="E639" s="35"/>
      <c r="F639" s="35"/>
      <c r="G639" s="35"/>
      <c r="H639" s="35"/>
      <c r="I639" s="38"/>
      <c r="J639" s="37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</row>
    <row r="640">
      <c r="A640" s="35"/>
      <c r="B640" s="37"/>
      <c r="C640" s="37"/>
      <c r="D640" s="35"/>
      <c r="E640" s="35"/>
      <c r="F640" s="35"/>
      <c r="G640" s="35"/>
      <c r="H640" s="35"/>
      <c r="I640" s="38"/>
      <c r="J640" s="37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</row>
    <row r="641">
      <c r="A641" s="35"/>
      <c r="B641" s="37"/>
      <c r="C641" s="37"/>
      <c r="D641" s="35"/>
      <c r="E641" s="35"/>
      <c r="F641" s="35"/>
      <c r="G641" s="35"/>
      <c r="H641" s="35"/>
      <c r="I641" s="38"/>
      <c r="J641" s="37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</row>
    <row r="642">
      <c r="A642" s="35"/>
      <c r="B642" s="37"/>
      <c r="C642" s="37"/>
      <c r="D642" s="35"/>
      <c r="E642" s="35"/>
      <c r="F642" s="35"/>
      <c r="G642" s="35"/>
      <c r="H642" s="35"/>
      <c r="I642" s="38"/>
      <c r="J642" s="37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</row>
    <row r="643">
      <c r="A643" s="35"/>
      <c r="B643" s="37"/>
      <c r="C643" s="37"/>
      <c r="D643" s="35"/>
      <c r="E643" s="35"/>
      <c r="F643" s="35"/>
      <c r="G643" s="35"/>
      <c r="H643" s="35"/>
      <c r="I643" s="38"/>
      <c r="J643" s="37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</row>
    <row r="644">
      <c r="A644" s="35"/>
      <c r="B644" s="37"/>
      <c r="C644" s="37"/>
      <c r="D644" s="35"/>
      <c r="E644" s="35"/>
      <c r="F644" s="35"/>
      <c r="G644" s="35"/>
      <c r="H644" s="35"/>
      <c r="I644" s="38"/>
      <c r="J644" s="37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</row>
    <row r="645">
      <c r="A645" s="35"/>
      <c r="B645" s="37"/>
      <c r="C645" s="37"/>
      <c r="D645" s="35"/>
      <c r="E645" s="35"/>
      <c r="F645" s="35"/>
      <c r="G645" s="35"/>
      <c r="H645" s="35"/>
      <c r="I645" s="38"/>
      <c r="J645" s="37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</row>
    <row r="646">
      <c r="A646" s="35"/>
      <c r="B646" s="37"/>
      <c r="C646" s="37"/>
      <c r="D646" s="35"/>
      <c r="E646" s="35"/>
      <c r="F646" s="35"/>
      <c r="G646" s="35"/>
      <c r="H646" s="35"/>
      <c r="I646" s="38"/>
      <c r="J646" s="37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</row>
    <row r="647">
      <c r="A647" s="35"/>
      <c r="B647" s="37"/>
      <c r="C647" s="37"/>
      <c r="D647" s="35"/>
      <c r="E647" s="35"/>
      <c r="F647" s="35"/>
      <c r="G647" s="35"/>
      <c r="H647" s="35"/>
      <c r="I647" s="38"/>
      <c r="J647" s="37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</row>
    <row r="648">
      <c r="A648" s="35"/>
      <c r="B648" s="37"/>
      <c r="C648" s="37"/>
      <c r="D648" s="35"/>
      <c r="E648" s="35"/>
      <c r="F648" s="35"/>
      <c r="G648" s="35"/>
      <c r="H648" s="35"/>
      <c r="I648" s="38"/>
      <c r="J648" s="37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</row>
    <row r="649">
      <c r="A649" s="35"/>
      <c r="B649" s="37"/>
      <c r="C649" s="37"/>
      <c r="D649" s="35"/>
      <c r="E649" s="35"/>
      <c r="F649" s="35"/>
      <c r="G649" s="35"/>
      <c r="H649" s="35"/>
      <c r="I649" s="38"/>
      <c r="J649" s="37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</row>
    <row r="650">
      <c r="A650" s="35"/>
      <c r="B650" s="37"/>
      <c r="C650" s="37"/>
      <c r="D650" s="35"/>
      <c r="E650" s="35"/>
      <c r="F650" s="35"/>
      <c r="G650" s="35"/>
      <c r="H650" s="35"/>
      <c r="I650" s="38"/>
      <c r="J650" s="37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</row>
    <row r="651">
      <c r="A651" s="35"/>
      <c r="B651" s="37"/>
      <c r="C651" s="37"/>
      <c r="D651" s="35"/>
      <c r="E651" s="35"/>
      <c r="F651" s="35"/>
      <c r="G651" s="35"/>
      <c r="H651" s="35"/>
      <c r="I651" s="38"/>
      <c r="J651" s="37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</row>
    <row r="652">
      <c r="A652" s="35"/>
      <c r="B652" s="37"/>
      <c r="C652" s="37"/>
      <c r="D652" s="35"/>
      <c r="E652" s="35"/>
      <c r="F652" s="35"/>
      <c r="G652" s="35"/>
      <c r="H652" s="35"/>
      <c r="I652" s="38"/>
      <c r="J652" s="37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</row>
    <row r="653">
      <c r="A653" s="35"/>
      <c r="B653" s="37"/>
      <c r="C653" s="37"/>
      <c r="D653" s="35"/>
      <c r="E653" s="35"/>
      <c r="F653" s="35"/>
      <c r="G653" s="35"/>
      <c r="H653" s="35"/>
      <c r="I653" s="38"/>
      <c r="J653" s="37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</row>
    <row r="654">
      <c r="A654" s="35"/>
      <c r="B654" s="37"/>
      <c r="C654" s="37"/>
      <c r="D654" s="35"/>
      <c r="E654" s="35"/>
      <c r="F654" s="35"/>
      <c r="G654" s="35"/>
      <c r="H654" s="35"/>
      <c r="I654" s="38"/>
      <c r="J654" s="37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</row>
    <row r="655">
      <c r="A655" s="35"/>
      <c r="B655" s="37"/>
      <c r="C655" s="37"/>
      <c r="D655" s="35"/>
      <c r="E655" s="35"/>
      <c r="F655" s="35"/>
      <c r="G655" s="35"/>
      <c r="H655" s="35"/>
      <c r="I655" s="38"/>
      <c r="J655" s="37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</row>
    <row r="656">
      <c r="A656" s="35"/>
      <c r="B656" s="37"/>
      <c r="C656" s="37"/>
      <c r="D656" s="35"/>
      <c r="E656" s="35"/>
      <c r="F656" s="35"/>
      <c r="G656" s="35"/>
      <c r="H656" s="35"/>
      <c r="I656" s="38"/>
      <c r="J656" s="37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</row>
    <row r="657">
      <c r="A657" s="35"/>
      <c r="B657" s="37"/>
      <c r="C657" s="37"/>
      <c r="D657" s="35"/>
      <c r="E657" s="35"/>
      <c r="F657" s="35"/>
      <c r="G657" s="35"/>
      <c r="H657" s="35"/>
      <c r="I657" s="38"/>
      <c r="J657" s="37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</row>
    <row r="658">
      <c r="A658" s="35"/>
      <c r="B658" s="37"/>
      <c r="C658" s="37"/>
      <c r="D658" s="35"/>
      <c r="E658" s="35"/>
      <c r="F658" s="35"/>
      <c r="G658" s="35"/>
      <c r="H658" s="35"/>
      <c r="I658" s="38"/>
      <c r="J658" s="37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</row>
    <row r="659">
      <c r="A659" s="35"/>
      <c r="B659" s="37"/>
      <c r="C659" s="37"/>
      <c r="D659" s="35"/>
      <c r="E659" s="35"/>
      <c r="F659" s="35"/>
      <c r="G659" s="35"/>
      <c r="H659" s="35"/>
      <c r="I659" s="38"/>
      <c r="J659" s="37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</row>
    <row r="660">
      <c r="A660" s="35"/>
      <c r="B660" s="37"/>
      <c r="C660" s="37"/>
      <c r="D660" s="35"/>
      <c r="E660" s="35"/>
      <c r="F660" s="35"/>
      <c r="G660" s="35"/>
      <c r="H660" s="35"/>
      <c r="I660" s="38"/>
      <c r="J660" s="37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</row>
    <row r="661">
      <c r="A661" s="35"/>
      <c r="B661" s="37"/>
      <c r="C661" s="37"/>
      <c r="D661" s="35"/>
      <c r="E661" s="35"/>
      <c r="F661" s="35"/>
      <c r="G661" s="35"/>
      <c r="H661" s="35"/>
      <c r="I661" s="38"/>
      <c r="J661" s="37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</row>
    <row r="662">
      <c r="A662" s="35"/>
      <c r="B662" s="37"/>
      <c r="C662" s="37"/>
      <c r="D662" s="35"/>
      <c r="E662" s="35"/>
      <c r="F662" s="35"/>
      <c r="G662" s="35"/>
      <c r="H662" s="35"/>
      <c r="I662" s="38"/>
      <c r="J662" s="37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</row>
    <row r="663">
      <c r="A663" s="35"/>
      <c r="B663" s="37"/>
      <c r="C663" s="37"/>
      <c r="D663" s="35"/>
      <c r="E663" s="35"/>
      <c r="F663" s="35"/>
      <c r="G663" s="35"/>
      <c r="H663" s="35"/>
      <c r="I663" s="38"/>
      <c r="J663" s="37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</row>
    <row r="664">
      <c r="A664" s="35"/>
      <c r="B664" s="37"/>
      <c r="C664" s="37"/>
      <c r="D664" s="35"/>
      <c r="E664" s="35"/>
      <c r="F664" s="35"/>
      <c r="G664" s="35"/>
      <c r="H664" s="35"/>
      <c r="I664" s="38"/>
      <c r="J664" s="37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</row>
    <row r="665">
      <c r="A665" s="35"/>
      <c r="B665" s="37"/>
      <c r="C665" s="37"/>
      <c r="D665" s="35"/>
      <c r="E665" s="35"/>
      <c r="F665" s="35"/>
      <c r="G665" s="35"/>
      <c r="H665" s="35"/>
      <c r="I665" s="38"/>
      <c r="J665" s="37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</row>
    <row r="666">
      <c r="A666" s="35"/>
      <c r="B666" s="37"/>
      <c r="C666" s="37"/>
      <c r="D666" s="35"/>
      <c r="E666" s="35"/>
      <c r="F666" s="35"/>
      <c r="G666" s="35"/>
      <c r="H666" s="35"/>
      <c r="I666" s="38"/>
      <c r="J666" s="37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</row>
    <row r="667">
      <c r="A667" s="35"/>
      <c r="B667" s="37"/>
      <c r="C667" s="37"/>
      <c r="D667" s="35"/>
      <c r="E667" s="35"/>
      <c r="F667" s="35"/>
      <c r="G667" s="35"/>
      <c r="H667" s="35"/>
      <c r="I667" s="38"/>
      <c r="J667" s="37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</row>
    <row r="668">
      <c r="A668" s="35"/>
      <c r="B668" s="37"/>
      <c r="C668" s="37"/>
      <c r="D668" s="35"/>
      <c r="E668" s="35"/>
      <c r="F668" s="35"/>
      <c r="G668" s="35"/>
      <c r="H668" s="35"/>
      <c r="I668" s="38"/>
      <c r="J668" s="37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</row>
    <row r="669">
      <c r="A669" s="35"/>
      <c r="B669" s="37"/>
      <c r="C669" s="37"/>
      <c r="D669" s="35"/>
      <c r="E669" s="35"/>
      <c r="F669" s="35"/>
      <c r="G669" s="35"/>
      <c r="H669" s="35"/>
      <c r="I669" s="38"/>
      <c r="J669" s="37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</row>
    <row r="670">
      <c r="A670" s="35"/>
      <c r="B670" s="37"/>
      <c r="C670" s="37"/>
      <c r="D670" s="35"/>
      <c r="E670" s="35"/>
      <c r="F670" s="35"/>
      <c r="G670" s="35"/>
      <c r="H670" s="35"/>
      <c r="I670" s="38"/>
      <c r="J670" s="37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</row>
    <row r="671">
      <c r="A671" s="35"/>
      <c r="B671" s="37"/>
      <c r="C671" s="37"/>
      <c r="D671" s="35"/>
      <c r="E671" s="35"/>
      <c r="F671" s="35"/>
      <c r="G671" s="35"/>
      <c r="H671" s="35"/>
      <c r="I671" s="38"/>
      <c r="J671" s="37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</row>
    <row r="672">
      <c r="A672" s="35"/>
      <c r="B672" s="37"/>
      <c r="C672" s="37"/>
      <c r="D672" s="35"/>
      <c r="E672" s="35"/>
      <c r="F672" s="35"/>
      <c r="G672" s="35"/>
      <c r="H672" s="35"/>
      <c r="I672" s="38"/>
      <c r="J672" s="37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</row>
    <row r="673">
      <c r="A673" s="35"/>
      <c r="B673" s="37"/>
      <c r="C673" s="37"/>
      <c r="D673" s="35"/>
      <c r="E673" s="35"/>
      <c r="F673" s="35"/>
      <c r="G673" s="35"/>
      <c r="H673" s="35"/>
      <c r="I673" s="38"/>
      <c r="J673" s="37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</row>
    <row r="674">
      <c r="A674" s="35"/>
      <c r="B674" s="37"/>
      <c r="C674" s="37"/>
      <c r="D674" s="35"/>
      <c r="E674" s="35"/>
      <c r="F674" s="35"/>
      <c r="G674" s="35"/>
      <c r="H674" s="35"/>
      <c r="I674" s="38"/>
      <c r="J674" s="37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</row>
    <row r="675">
      <c r="A675" s="35"/>
      <c r="B675" s="37"/>
      <c r="C675" s="37"/>
      <c r="D675" s="35"/>
      <c r="E675" s="35"/>
      <c r="F675" s="35"/>
      <c r="G675" s="35"/>
      <c r="H675" s="35"/>
      <c r="I675" s="38"/>
      <c r="J675" s="37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</row>
    <row r="676">
      <c r="A676" s="35"/>
      <c r="B676" s="37"/>
      <c r="C676" s="37"/>
      <c r="D676" s="35"/>
      <c r="E676" s="35"/>
      <c r="F676" s="35"/>
      <c r="G676" s="35"/>
      <c r="H676" s="35"/>
      <c r="I676" s="38"/>
      <c r="J676" s="37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</row>
    <row r="677">
      <c r="A677" s="35"/>
      <c r="B677" s="37"/>
      <c r="C677" s="37"/>
      <c r="D677" s="35"/>
      <c r="E677" s="35"/>
      <c r="F677" s="35"/>
      <c r="G677" s="35"/>
      <c r="H677" s="35"/>
      <c r="I677" s="38"/>
      <c r="J677" s="37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</row>
    <row r="678">
      <c r="A678" s="35"/>
      <c r="B678" s="37"/>
      <c r="C678" s="37"/>
      <c r="D678" s="35"/>
      <c r="E678" s="35"/>
      <c r="F678" s="35"/>
      <c r="G678" s="35"/>
      <c r="H678" s="35"/>
      <c r="I678" s="38"/>
      <c r="J678" s="37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</row>
    <row r="679">
      <c r="A679" s="35"/>
      <c r="B679" s="37"/>
      <c r="C679" s="37"/>
      <c r="D679" s="35"/>
      <c r="E679" s="35"/>
      <c r="F679" s="35"/>
      <c r="G679" s="35"/>
      <c r="H679" s="35"/>
      <c r="I679" s="38"/>
      <c r="J679" s="37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</row>
    <row r="680">
      <c r="A680" s="35"/>
      <c r="B680" s="37"/>
      <c r="C680" s="37"/>
      <c r="D680" s="35"/>
      <c r="E680" s="35"/>
      <c r="F680" s="35"/>
      <c r="G680" s="35"/>
      <c r="H680" s="35"/>
      <c r="I680" s="38"/>
      <c r="J680" s="37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</row>
    <row r="681">
      <c r="A681" s="35"/>
      <c r="B681" s="37"/>
      <c r="C681" s="37"/>
      <c r="D681" s="35"/>
      <c r="E681" s="35"/>
      <c r="F681" s="35"/>
      <c r="G681" s="35"/>
      <c r="H681" s="35"/>
      <c r="I681" s="38"/>
      <c r="J681" s="37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</row>
    <row r="682">
      <c r="A682" s="35"/>
      <c r="B682" s="37"/>
      <c r="C682" s="37"/>
      <c r="D682" s="35"/>
      <c r="E682" s="35"/>
      <c r="F682" s="35"/>
      <c r="G682" s="35"/>
      <c r="H682" s="35"/>
      <c r="I682" s="38"/>
      <c r="J682" s="37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</row>
    <row r="683">
      <c r="A683" s="35"/>
      <c r="B683" s="37"/>
      <c r="C683" s="37"/>
      <c r="D683" s="35"/>
      <c r="E683" s="35"/>
      <c r="F683" s="35"/>
      <c r="G683" s="35"/>
      <c r="H683" s="35"/>
      <c r="I683" s="38"/>
      <c r="J683" s="37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</row>
    <row r="684">
      <c r="A684" s="35"/>
      <c r="B684" s="37"/>
      <c r="C684" s="37"/>
      <c r="D684" s="35"/>
      <c r="E684" s="35"/>
      <c r="F684" s="35"/>
      <c r="G684" s="35"/>
      <c r="H684" s="35"/>
      <c r="I684" s="38"/>
      <c r="J684" s="37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</row>
    <row r="685">
      <c r="A685" s="35"/>
      <c r="B685" s="37"/>
      <c r="C685" s="37"/>
      <c r="D685" s="35"/>
      <c r="E685" s="35"/>
      <c r="F685" s="35"/>
      <c r="G685" s="35"/>
      <c r="H685" s="35"/>
      <c r="I685" s="38"/>
      <c r="J685" s="37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</row>
    <row r="686">
      <c r="A686" s="35"/>
      <c r="B686" s="37"/>
      <c r="C686" s="37"/>
      <c r="D686" s="35"/>
      <c r="E686" s="35"/>
      <c r="F686" s="35"/>
      <c r="G686" s="35"/>
      <c r="H686" s="35"/>
      <c r="I686" s="38"/>
      <c r="J686" s="37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</row>
    <row r="687">
      <c r="A687" s="35"/>
      <c r="B687" s="37"/>
      <c r="C687" s="37"/>
      <c r="D687" s="35"/>
      <c r="E687" s="35"/>
      <c r="F687" s="35"/>
      <c r="G687" s="35"/>
      <c r="H687" s="35"/>
      <c r="I687" s="38"/>
      <c r="J687" s="37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</row>
    <row r="688">
      <c r="A688" s="35"/>
      <c r="B688" s="37"/>
      <c r="C688" s="37"/>
      <c r="D688" s="35"/>
      <c r="E688" s="35"/>
      <c r="F688" s="35"/>
      <c r="G688" s="35"/>
      <c r="H688" s="35"/>
      <c r="I688" s="38"/>
      <c r="J688" s="37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</row>
    <row r="689">
      <c r="A689" s="35"/>
      <c r="B689" s="37"/>
      <c r="C689" s="37"/>
      <c r="D689" s="35"/>
      <c r="E689" s="35"/>
      <c r="F689" s="35"/>
      <c r="G689" s="35"/>
      <c r="H689" s="35"/>
      <c r="I689" s="38"/>
      <c r="J689" s="37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</row>
    <row r="690">
      <c r="A690" s="35"/>
      <c r="B690" s="37"/>
      <c r="C690" s="37"/>
      <c r="D690" s="35"/>
      <c r="E690" s="35"/>
      <c r="F690" s="35"/>
      <c r="G690" s="35"/>
      <c r="H690" s="35"/>
      <c r="I690" s="38"/>
      <c r="J690" s="37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</row>
    <row r="691">
      <c r="A691" s="35"/>
      <c r="B691" s="37"/>
      <c r="C691" s="37"/>
      <c r="D691" s="35"/>
      <c r="E691" s="35"/>
      <c r="F691" s="35"/>
      <c r="G691" s="35"/>
      <c r="H691" s="35"/>
      <c r="I691" s="38"/>
      <c r="J691" s="37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</row>
    <row r="692">
      <c r="A692" s="35"/>
      <c r="B692" s="37"/>
      <c r="C692" s="37"/>
      <c r="D692" s="35"/>
      <c r="E692" s="35"/>
      <c r="F692" s="35"/>
      <c r="G692" s="35"/>
      <c r="H692" s="35"/>
      <c r="I692" s="38"/>
      <c r="J692" s="37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</row>
    <row r="693">
      <c r="A693" s="35"/>
      <c r="B693" s="37"/>
      <c r="C693" s="37"/>
      <c r="D693" s="35"/>
      <c r="E693" s="35"/>
      <c r="F693" s="35"/>
      <c r="G693" s="35"/>
      <c r="H693" s="35"/>
      <c r="I693" s="38"/>
      <c r="J693" s="37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</row>
    <row r="694">
      <c r="A694" s="35"/>
      <c r="B694" s="37"/>
      <c r="C694" s="37"/>
      <c r="D694" s="35"/>
      <c r="E694" s="35"/>
      <c r="F694" s="35"/>
      <c r="G694" s="35"/>
      <c r="H694" s="35"/>
      <c r="I694" s="38"/>
      <c r="J694" s="37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</row>
    <row r="695">
      <c r="A695" s="35"/>
      <c r="B695" s="37"/>
      <c r="C695" s="37"/>
      <c r="D695" s="35"/>
      <c r="E695" s="35"/>
      <c r="F695" s="35"/>
      <c r="G695" s="35"/>
      <c r="H695" s="35"/>
      <c r="I695" s="38"/>
      <c r="J695" s="37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</row>
    <row r="696">
      <c r="A696" s="35"/>
      <c r="B696" s="37"/>
      <c r="C696" s="37"/>
      <c r="D696" s="35"/>
      <c r="E696" s="35"/>
      <c r="F696" s="35"/>
      <c r="G696" s="35"/>
      <c r="H696" s="35"/>
      <c r="I696" s="38"/>
      <c r="J696" s="37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</row>
    <row r="697">
      <c r="A697" s="35"/>
      <c r="B697" s="37"/>
      <c r="C697" s="37"/>
      <c r="D697" s="35"/>
      <c r="E697" s="35"/>
      <c r="F697" s="35"/>
      <c r="G697" s="35"/>
      <c r="H697" s="35"/>
      <c r="I697" s="38"/>
      <c r="J697" s="37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</row>
    <row r="698">
      <c r="A698" s="35"/>
      <c r="B698" s="37"/>
      <c r="C698" s="37"/>
      <c r="D698" s="35"/>
      <c r="E698" s="35"/>
      <c r="F698" s="35"/>
      <c r="G698" s="35"/>
      <c r="H698" s="35"/>
      <c r="I698" s="38"/>
      <c r="J698" s="37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</row>
    <row r="699">
      <c r="A699" s="35"/>
      <c r="B699" s="37"/>
      <c r="C699" s="37"/>
      <c r="D699" s="35"/>
      <c r="E699" s="35"/>
      <c r="F699" s="35"/>
      <c r="G699" s="35"/>
      <c r="H699" s="35"/>
      <c r="I699" s="38"/>
      <c r="J699" s="37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</row>
    <row r="700">
      <c r="A700" s="35"/>
      <c r="B700" s="37"/>
      <c r="C700" s="37"/>
      <c r="D700" s="35"/>
      <c r="E700" s="35"/>
      <c r="F700" s="35"/>
      <c r="G700" s="35"/>
      <c r="H700" s="35"/>
      <c r="I700" s="38"/>
      <c r="J700" s="37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</row>
    <row r="701">
      <c r="A701" s="35"/>
      <c r="B701" s="37"/>
      <c r="C701" s="37"/>
      <c r="D701" s="35"/>
      <c r="E701" s="35"/>
      <c r="F701" s="35"/>
      <c r="G701" s="35"/>
      <c r="H701" s="35"/>
      <c r="I701" s="38"/>
      <c r="J701" s="37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</row>
    <row r="702">
      <c r="A702" s="35"/>
      <c r="B702" s="37"/>
      <c r="C702" s="37"/>
      <c r="D702" s="35"/>
      <c r="E702" s="35"/>
      <c r="F702" s="35"/>
      <c r="G702" s="35"/>
      <c r="H702" s="35"/>
      <c r="I702" s="38"/>
      <c r="J702" s="37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</row>
    <row r="703">
      <c r="A703" s="35"/>
      <c r="B703" s="37"/>
      <c r="C703" s="37"/>
      <c r="D703" s="35"/>
      <c r="E703" s="35"/>
      <c r="F703" s="35"/>
      <c r="G703" s="35"/>
      <c r="H703" s="35"/>
      <c r="I703" s="38"/>
      <c r="J703" s="37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</row>
    <row r="704">
      <c r="A704" s="35"/>
      <c r="B704" s="37"/>
      <c r="C704" s="37"/>
      <c r="D704" s="35"/>
      <c r="E704" s="35"/>
      <c r="F704" s="35"/>
      <c r="G704" s="35"/>
      <c r="H704" s="35"/>
      <c r="I704" s="38"/>
      <c r="J704" s="37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</row>
    <row r="705">
      <c r="A705" s="35"/>
      <c r="B705" s="37"/>
      <c r="C705" s="37"/>
      <c r="D705" s="35"/>
      <c r="E705" s="35"/>
      <c r="F705" s="35"/>
      <c r="G705" s="35"/>
      <c r="H705" s="35"/>
      <c r="I705" s="38"/>
      <c r="J705" s="37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</row>
    <row r="706">
      <c r="A706" s="35"/>
      <c r="B706" s="37"/>
      <c r="C706" s="37"/>
      <c r="D706" s="35"/>
      <c r="E706" s="35"/>
      <c r="F706" s="35"/>
      <c r="G706" s="35"/>
      <c r="H706" s="35"/>
      <c r="I706" s="38"/>
      <c r="J706" s="37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</row>
    <row r="707">
      <c r="A707" s="35"/>
      <c r="B707" s="37"/>
      <c r="C707" s="37"/>
      <c r="D707" s="35"/>
      <c r="E707" s="35"/>
      <c r="F707" s="35"/>
      <c r="G707" s="35"/>
      <c r="H707" s="35"/>
      <c r="I707" s="38"/>
      <c r="J707" s="37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</row>
    <row r="708">
      <c r="A708" s="35"/>
      <c r="B708" s="37"/>
      <c r="C708" s="37"/>
      <c r="D708" s="35"/>
      <c r="E708" s="35"/>
      <c r="F708" s="35"/>
      <c r="G708" s="35"/>
      <c r="H708" s="35"/>
      <c r="I708" s="38"/>
      <c r="J708" s="37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</row>
    <row r="709">
      <c r="A709" s="35"/>
      <c r="B709" s="37"/>
      <c r="C709" s="37"/>
      <c r="D709" s="35"/>
      <c r="E709" s="35"/>
      <c r="F709" s="35"/>
      <c r="G709" s="35"/>
      <c r="H709" s="35"/>
      <c r="I709" s="38"/>
      <c r="J709" s="37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</row>
    <row r="710">
      <c r="A710" s="35"/>
      <c r="B710" s="37"/>
      <c r="C710" s="37"/>
      <c r="D710" s="35"/>
      <c r="E710" s="35"/>
      <c r="F710" s="35"/>
      <c r="G710" s="35"/>
      <c r="H710" s="35"/>
      <c r="I710" s="38"/>
      <c r="J710" s="37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</row>
    <row r="711">
      <c r="A711" s="35"/>
      <c r="B711" s="37"/>
      <c r="C711" s="37"/>
      <c r="D711" s="35"/>
      <c r="E711" s="35"/>
      <c r="F711" s="35"/>
      <c r="G711" s="35"/>
      <c r="H711" s="35"/>
      <c r="I711" s="38"/>
      <c r="J711" s="37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</row>
    <row r="712">
      <c r="A712" s="35"/>
      <c r="B712" s="37"/>
      <c r="C712" s="37"/>
      <c r="D712" s="35"/>
      <c r="E712" s="35"/>
      <c r="F712" s="35"/>
      <c r="G712" s="35"/>
      <c r="H712" s="35"/>
      <c r="I712" s="38"/>
      <c r="J712" s="37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</row>
    <row r="713">
      <c r="A713" s="35"/>
      <c r="B713" s="37"/>
      <c r="C713" s="37"/>
      <c r="D713" s="35"/>
      <c r="E713" s="35"/>
      <c r="F713" s="35"/>
      <c r="G713" s="35"/>
      <c r="H713" s="35"/>
      <c r="I713" s="38"/>
      <c r="J713" s="37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</row>
    <row r="714">
      <c r="A714" s="35"/>
      <c r="B714" s="37"/>
      <c r="C714" s="37"/>
      <c r="D714" s="35"/>
      <c r="E714" s="35"/>
      <c r="F714" s="35"/>
      <c r="G714" s="35"/>
      <c r="H714" s="35"/>
      <c r="I714" s="38"/>
      <c r="J714" s="37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</row>
    <row r="715">
      <c r="A715" s="35"/>
      <c r="B715" s="37"/>
      <c r="C715" s="37"/>
      <c r="D715" s="35"/>
      <c r="E715" s="35"/>
      <c r="F715" s="35"/>
      <c r="G715" s="35"/>
      <c r="H715" s="35"/>
      <c r="I715" s="38"/>
      <c r="J715" s="37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</row>
    <row r="716">
      <c r="A716" s="35"/>
      <c r="B716" s="37"/>
      <c r="C716" s="37"/>
      <c r="D716" s="35"/>
      <c r="E716" s="35"/>
      <c r="F716" s="35"/>
      <c r="G716" s="35"/>
      <c r="H716" s="35"/>
      <c r="I716" s="38"/>
      <c r="J716" s="37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</row>
    <row r="717">
      <c r="A717" s="35"/>
      <c r="B717" s="37"/>
      <c r="C717" s="37"/>
      <c r="D717" s="35"/>
      <c r="E717" s="35"/>
      <c r="F717" s="35"/>
      <c r="G717" s="35"/>
      <c r="H717" s="35"/>
      <c r="I717" s="38"/>
      <c r="J717" s="37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</row>
    <row r="718">
      <c r="A718" s="35"/>
      <c r="B718" s="37"/>
      <c r="C718" s="37"/>
      <c r="D718" s="35"/>
      <c r="E718" s="35"/>
      <c r="F718" s="35"/>
      <c r="G718" s="35"/>
      <c r="H718" s="35"/>
      <c r="I718" s="38"/>
      <c r="J718" s="37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</row>
    <row r="719">
      <c r="A719" s="35"/>
      <c r="B719" s="37"/>
      <c r="C719" s="37"/>
      <c r="D719" s="35"/>
      <c r="E719" s="35"/>
      <c r="F719" s="35"/>
      <c r="G719" s="35"/>
      <c r="H719" s="35"/>
      <c r="I719" s="38"/>
      <c r="J719" s="37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</row>
    <row r="720">
      <c r="A720" s="35"/>
      <c r="B720" s="37"/>
      <c r="C720" s="37"/>
      <c r="D720" s="35"/>
      <c r="E720" s="35"/>
      <c r="F720" s="35"/>
      <c r="G720" s="35"/>
      <c r="H720" s="35"/>
      <c r="I720" s="38"/>
      <c r="J720" s="37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</row>
    <row r="721">
      <c r="A721" s="35"/>
      <c r="B721" s="37"/>
      <c r="C721" s="37"/>
      <c r="D721" s="35"/>
      <c r="E721" s="35"/>
      <c r="F721" s="35"/>
      <c r="G721" s="35"/>
      <c r="H721" s="35"/>
      <c r="I721" s="38"/>
      <c r="J721" s="37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</row>
    <row r="722">
      <c r="A722" s="35"/>
      <c r="B722" s="37"/>
      <c r="C722" s="37"/>
      <c r="D722" s="35"/>
      <c r="E722" s="35"/>
      <c r="F722" s="35"/>
      <c r="G722" s="35"/>
      <c r="H722" s="35"/>
      <c r="I722" s="38"/>
      <c r="J722" s="37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</row>
    <row r="723">
      <c r="A723" s="35"/>
      <c r="B723" s="37"/>
      <c r="C723" s="37"/>
      <c r="D723" s="35"/>
      <c r="E723" s="35"/>
      <c r="F723" s="35"/>
      <c r="G723" s="35"/>
      <c r="H723" s="35"/>
      <c r="I723" s="38"/>
      <c r="J723" s="37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</row>
    <row r="724">
      <c r="A724" s="35"/>
      <c r="B724" s="37"/>
      <c r="C724" s="37"/>
      <c r="D724" s="35"/>
      <c r="E724" s="35"/>
      <c r="F724" s="35"/>
      <c r="G724" s="35"/>
      <c r="H724" s="35"/>
      <c r="I724" s="38"/>
      <c r="J724" s="37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</row>
    <row r="725">
      <c r="A725" s="35"/>
      <c r="B725" s="37"/>
      <c r="C725" s="37"/>
      <c r="D725" s="35"/>
      <c r="E725" s="35"/>
      <c r="F725" s="35"/>
      <c r="G725" s="35"/>
      <c r="H725" s="35"/>
      <c r="I725" s="38"/>
      <c r="J725" s="37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</row>
    <row r="726">
      <c r="A726" s="35"/>
      <c r="B726" s="37"/>
      <c r="C726" s="37"/>
      <c r="D726" s="35"/>
      <c r="E726" s="35"/>
      <c r="F726" s="35"/>
      <c r="G726" s="35"/>
      <c r="H726" s="35"/>
      <c r="I726" s="38"/>
      <c r="J726" s="37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</row>
    <row r="727">
      <c r="A727" s="35"/>
      <c r="B727" s="37"/>
      <c r="C727" s="37"/>
      <c r="D727" s="35"/>
      <c r="E727" s="35"/>
      <c r="F727" s="35"/>
      <c r="G727" s="35"/>
      <c r="H727" s="35"/>
      <c r="I727" s="38"/>
      <c r="J727" s="37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</row>
    <row r="728">
      <c r="A728" s="35"/>
      <c r="B728" s="37"/>
      <c r="C728" s="37"/>
      <c r="D728" s="35"/>
      <c r="E728" s="35"/>
      <c r="F728" s="35"/>
      <c r="G728" s="35"/>
      <c r="H728" s="35"/>
      <c r="I728" s="38"/>
      <c r="J728" s="37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</row>
    <row r="729">
      <c r="A729" s="35"/>
      <c r="B729" s="37"/>
      <c r="C729" s="37"/>
      <c r="D729" s="35"/>
      <c r="E729" s="35"/>
      <c r="F729" s="35"/>
      <c r="G729" s="35"/>
      <c r="H729" s="35"/>
      <c r="I729" s="38"/>
      <c r="J729" s="37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</row>
    <row r="730">
      <c r="A730" s="35"/>
      <c r="B730" s="37"/>
      <c r="C730" s="37"/>
      <c r="D730" s="35"/>
      <c r="E730" s="35"/>
      <c r="F730" s="35"/>
      <c r="G730" s="35"/>
      <c r="H730" s="35"/>
      <c r="I730" s="38"/>
      <c r="J730" s="37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</row>
    <row r="731">
      <c r="A731" s="35"/>
      <c r="B731" s="37"/>
      <c r="C731" s="37"/>
      <c r="D731" s="35"/>
      <c r="E731" s="35"/>
      <c r="F731" s="35"/>
      <c r="G731" s="35"/>
      <c r="H731" s="35"/>
      <c r="I731" s="38"/>
      <c r="J731" s="37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</row>
    <row r="732">
      <c r="A732" s="35"/>
      <c r="B732" s="37"/>
      <c r="C732" s="37"/>
      <c r="D732" s="35"/>
      <c r="E732" s="35"/>
      <c r="F732" s="35"/>
      <c r="G732" s="35"/>
      <c r="H732" s="35"/>
      <c r="I732" s="38"/>
      <c r="J732" s="37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</row>
    <row r="733">
      <c r="A733" s="35"/>
      <c r="B733" s="37"/>
      <c r="C733" s="37"/>
      <c r="D733" s="35"/>
      <c r="E733" s="35"/>
      <c r="F733" s="35"/>
      <c r="G733" s="35"/>
      <c r="H733" s="35"/>
      <c r="I733" s="38"/>
      <c r="J733" s="37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</row>
    <row r="734">
      <c r="A734" s="35"/>
      <c r="B734" s="37"/>
      <c r="C734" s="37"/>
      <c r="D734" s="35"/>
      <c r="E734" s="35"/>
      <c r="F734" s="35"/>
      <c r="G734" s="35"/>
      <c r="H734" s="35"/>
      <c r="I734" s="38"/>
      <c r="J734" s="37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</row>
    <row r="735">
      <c r="A735" s="35"/>
      <c r="B735" s="37"/>
      <c r="C735" s="37"/>
      <c r="D735" s="35"/>
      <c r="E735" s="35"/>
      <c r="F735" s="35"/>
      <c r="G735" s="35"/>
      <c r="H735" s="35"/>
      <c r="I735" s="38"/>
      <c r="J735" s="37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</row>
    <row r="736">
      <c r="A736" s="35"/>
      <c r="B736" s="37"/>
      <c r="C736" s="37"/>
      <c r="D736" s="35"/>
      <c r="E736" s="35"/>
      <c r="F736" s="35"/>
      <c r="G736" s="35"/>
      <c r="H736" s="35"/>
      <c r="I736" s="38"/>
      <c r="J736" s="37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</row>
    <row r="737">
      <c r="A737" s="35"/>
      <c r="B737" s="37"/>
      <c r="C737" s="37"/>
      <c r="D737" s="35"/>
      <c r="E737" s="35"/>
      <c r="F737" s="35"/>
      <c r="G737" s="35"/>
      <c r="H737" s="35"/>
      <c r="I737" s="38"/>
      <c r="J737" s="37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</row>
    <row r="738">
      <c r="A738" s="35"/>
      <c r="B738" s="37"/>
      <c r="C738" s="37"/>
      <c r="D738" s="35"/>
      <c r="E738" s="35"/>
      <c r="F738" s="35"/>
      <c r="G738" s="35"/>
      <c r="H738" s="35"/>
      <c r="I738" s="38"/>
      <c r="J738" s="37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</row>
    <row r="739">
      <c r="A739" s="35"/>
      <c r="B739" s="37"/>
      <c r="C739" s="37"/>
      <c r="D739" s="35"/>
      <c r="E739" s="35"/>
      <c r="F739" s="35"/>
      <c r="G739" s="35"/>
      <c r="H739" s="35"/>
      <c r="I739" s="38"/>
      <c r="J739" s="37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</row>
    <row r="740">
      <c r="A740" s="35"/>
      <c r="B740" s="37"/>
      <c r="C740" s="37"/>
      <c r="D740" s="35"/>
      <c r="E740" s="35"/>
      <c r="F740" s="35"/>
      <c r="G740" s="35"/>
      <c r="H740" s="35"/>
      <c r="I740" s="38"/>
      <c r="J740" s="37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</row>
    <row r="741">
      <c r="A741" s="35"/>
      <c r="B741" s="37"/>
      <c r="C741" s="37"/>
      <c r="D741" s="35"/>
      <c r="E741" s="35"/>
      <c r="F741" s="35"/>
      <c r="G741" s="35"/>
      <c r="H741" s="35"/>
      <c r="I741" s="38"/>
      <c r="J741" s="37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</row>
    <row r="742">
      <c r="A742" s="35"/>
      <c r="B742" s="37"/>
      <c r="C742" s="37"/>
      <c r="D742" s="35"/>
      <c r="E742" s="35"/>
      <c r="F742" s="35"/>
      <c r="G742" s="35"/>
      <c r="H742" s="35"/>
      <c r="I742" s="38"/>
      <c r="J742" s="37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</row>
    <row r="743">
      <c r="A743" s="35"/>
      <c r="B743" s="37"/>
      <c r="C743" s="37"/>
      <c r="D743" s="35"/>
      <c r="E743" s="35"/>
      <c r="F743" s="35"/>
      <c r="G743" s="35"/>
      <c r="H743" s="35"/>
      <c r="I743" s="38"/>
      <c r="J743" s="37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</row>
    <row r="744">
      <c r="A744" s="35"/>
      <c r="B744" s="37"/>
      <c r="C744" s="37"/>
      <c r="D744" s="35"/>
      <c r="E744" s="35"/>
      <c r="F744" s="35"/>
      <c r="G744" s="35"/>
      <c r="H744" s="35"/>
      <c r="I744" s="38"/>
      <c r="J744" s="37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</row>
    <row r="745">
      <c r="A745" s="35"/>
      <c r="B745" s="37"/>
      <c r="C745" s="37"/>
      <c r="D745" s="35"/>
      <c r="E745" s="35"/>
      <c r="F745" s="35"/>
      <c r="G745" s="35"/>
      <c r="H745" s="35"/>
      <c r="I745" s="38"/>
      <c r="J745" s="37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</row>
    <row r="746">
      <c r="A746" s="35"/>
      <c r="B746" s="37"/>
      <c r="C746" s="37"/>
      <c r="D746" s="35"/>
      <c r="E746" s="35"/>
      <c r="F746" s="35"/>
      <c r="G746" s="35"/>
      <c r="H746" s="35"/>
      <c r="I746" s="38"/>
      <c r="J746" s="37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</row>
    <row r="747">
      <c r="A747" s="35"/>
      <c r="B747" s="37"/>
      <c r="C747" s="37"/>
      <c r="D747" s="35"/>
      <c r="E747" s="35"/>
      <c r="F747" s="35"/>
      <c r="G747" s="35"/>
      <c r="H747" s="35"/>
      <c r="I747" s="38"/>
      <c r="J747" s="37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</row>
    <row r="748">
      <c r="A748" s="35"/>
      <c r="B748" s="37"/>
      <c r="C748" s="37"/>
      <c r="D748" s="35"/>
      <c r="E748" s="35"/>
      <c r="F748" s="35"/>
      <c r="G748" s="35"/>
      <c r="H748" s="35"/>
      <c r="I748" s="38"/>
      <c r="J748" s="37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</row>
    <row r="749">
      <c r="A749" s="35"/>
      <c r="B749" s="37"/>
      <c r="C749" s="37"/>
      <c r="D749" s="35"/>
      <c r="E749" s="35"/>
      <c r="F749" s="35"/>
      <c r="G749" s="35"/>
      <c r="H749" s="35"/>
      <c r="I749" s="38"/>
      <c r="J749" s="37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</row>
    <row r="750">
      <c r="A750" s="35"/>
      <c r="B750" s="37"/>
      <c r="C750" s="37"/>
      <c r="D750" s="35"/>
      <c r="E750" s="35"/>
      <c r="F750" s="35"/>
      <c r="G750" s="35"/>
      <c r="H750" s="35"/>
      <c r="I750" s="38"/>
      <c r="J750" s="37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</row>
    <row r="751">
      <c r="A751" s="35"/>
      <c r="B751" s="37"/>
      <c r="C751" s="37"/>
      <c r="D751" s="35"/>
      <c r="E751" s="35"/>
      <c r="F751" s="35"/>
      <c r="G751" s="35"/>
      <c r="H751" s="35"/>
      <c r="I751" s="38"/>
      <c r="J751" s="37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</row>
    <row r="752">
      <c r="A752" s="35"/>
      <c r="B752" s="37"/>
      <c r="C752" s="37"/>
      <c r="D752" s="35"/>
      <c r="E752" s="35"/>
      <c r="F752" s="35"/>
      <c r="G752" s="35"/>
      <c r="H752" s="35"/>
      <c r="I752" s="38"/>
      <c r="J752" s="37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</row>
    <row r="753">
      <c r="A753" s="35"/>
      <c r="B753" s="37"/>
      <c r="C753" s="37"/>
      <c r="D753" s="35"/>
      <c r="E753" s="35"/>
      <c r="F753" s="35"/>
      <c r="G753" s="35"/>
      <c r="H753" s="35"/>
      <c r="I753" s="38"/>
      <c r="J753" s="37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</row>
    <row r="754">
      <c r="A754" s="35"/>
      <c r="B754" s="37"/>
      <c r="C754" s="37"/>
      <c r="D754" s="35"/>
      <c r="E754" s="35"/>
      <c r="F754" s="35"/>
      <c r="G754" s="35"/>
      <c r="H754" s="35"/>
      <c r="I754" s="38"/>
      <c r="J754" s="37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</row>
    <row r="755">
      <c r="A755" s="35"/>
      <c r="B755" s="37"/>
      <c r="C755" s="37"/>
      <c r="D755" s="35"/>
      <c r="E755" s="35"/>
      <c r="F755" s="35"/>
      <c r="G755" s="35"/>
      <c r="H755" s="35"/>
      <c r="I755" s="38"/>
      <c r="J755" s="37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</row>
    <row r="756">
      <c r="A756" s="35"/>
      <c r="B756" s="37"/>
      <c r="C756" s="37"/>
      <c r="D756" s="35"/>
      <c r="E756" s="35"/>
      <c r="F756" s="35"/>
      <c r="G756" s="35"/>
      <c r="H756" s="35"/>
      <c r="I756" s="38"/>
      <c r="J756" s="37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</row>
    <row r="757">
      <c r="A757" s="35"/>
      <c r="B757" s="37"/>
      <c r="C757" s="37"/>
      <c r="D757" s="35"/>
      <c r="E757" s="35"/>
      <c r="F757" s="35"/>
      <c r="G757" s="35"/>
      <c r="H757" s="35"/>
      <c r="I757" s="38"/>
      <c r="J757" s="37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</row>
    <row r="758">
      <c r="A758" s="35"/>
      <c r="B758" s="37"/>
      <c r="C758" s="37"/>
      <c r="D758" s="35"/>
      <c r="E758" s="35"/>
      <c r="F758" s="35"/>
      <c r="G758" s="35"/>
      <c r="H758" s="35"/>
      <c r="I758" s="38"/>
      <c r="J758" s="37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</row>
    <row r="759">
      <c r="A759" s="35"/>
      <c r="B759" s="37"/>
      <c r="C759" s="37"/>
      <c r="D759" s="35"/>
      <c r="E759" s="35"/>
      <c r="F759" s="35"/>
      <c r="G759" s="35"/>
      <c r="H759" s="35"/>
      <c r="I759" s="38"/>
      <c r="J759" s="37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</row>
    <row r="760">
      <c r="A760" s="35"/>
      <c r="B760" s="37"/>
      <c r="C760" s="37"/>
      <c r="D760" s="35"/>
      <c r="E760" s="35"/>
      <c r="F760" s="35"/>
      <c r="G760" s="35"/>
      <c r="H760" s="35"/>
      <c r="I760" s="38"/>
      <c r="J760" s="37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</row>
    <row r="761">
      <c r="A761" s="35"/>
      <c r="B761" s="37"/>
      <c r="C761" s="37"/>
      <c r="D761" s="35"/>
      <c r="E761" s="35"/>
      <c r="F761" s="35"/>
      <c r="G761" s="35"/>
      <c r="H761" s="35"/>
      <c r="I761" s="38"/>
      <c r="J761" s="37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</row>
    <row r="762">
      <c r="A762" s="35"/>
      <c r="B762" s="37"/>
      <c r="C762" s="37"/>
      <c r="D762" s="35"/>
      <c r="E762" s="35"/>
      <c r="F762" s="35"/>
      <c r="G762" s="35"/>
      <c r="H762" s="35"/>
      <c r="I762" s="38"/>
      <c r="J762" s="37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</row>
    <row r="763">
      <c r="A763" s="35"/>
      <c r="B763" s="37"/>
      <c r="C763" s="37"/>
      <c r="D763" s="35"/>
      <c r="E763" s="35"/>
      <c r="F763" s="35"/>
      <c r="G763" s="35"/>
      <c r="H763" s="35"/>
      <c r="I763" s="38"/>
      <c r="J763" s="37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</row>
    <row r="764">
      <c r="A764" s="35"/>
      <c r="B764" s="37"/>
      <c r="C764" s="37"/>
      <c r="D764" s="35"/>
      <c r="E764" s="35"/>
      <c r="F764" s="35"/>
      <c r="G764" s="35"/>
      <c r="H764" s="35"/>
      <c r="I764" s="38"/>
      <c r="J764" s="37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</row>
    <row r="765">
      <c r="A765" s="35"/>
      <c r="B765" s="37"/>
      <c r="C765" s="37"/>
      <c r="D765" s="35"/>
      <c r="E765" s="35"/>
      <c r="F765" s="35"/>
      <c r="G765" s="35"/>
      <c r="H765" s="35"/>
      <c r="I765" s="38"/>
      <c r="J765" s="37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</row>
    <row r="766">
      <c r="A766" s="35"/>
      <c r="B766" s="37"/>
      <c r="C766" s="37"/>
      <c r="D766" s="35"/>
      <c r="E766" s="35"/>
      <c r="F766" s="35"/>
      <c r="G766" s="35"/>
      <c r="H766" s="35"/>
      <c r="I766" s="38"/>
      <c r="J766" s="37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</row>
    <row r="767">
      <c r="A767" s="35"/>
      <c r="B767" s="37"/>
      <c r="C767" s="37"/>
      <c r="D767" s="35"/>
      <c r="E767" s="35"/>
      <c r="F767" s="35"/>
      <c r="G767" s="35"/>
      <c r="H767" s="35"/>
      <c r="I767" s="38"/>
      <c r="J767" s="37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</row>
    <row r="768">
      <c r="A768" s="35"/>
      <c r="B768" s="37"/>
      <c r="C768" s="37"/>
      <c r="D768" s="35"/>
      <c r="E768" s="35"/>
      <c r="F768" s="35"/>
      <c r="G768" s="35"/>
      <c r="H768" s="35"/>
      <c r="I768" s="38"/>
      <c r="J768" s="37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</row>
    <row r="769">
      <c r="A769" s="35"/>
      <c r="B769" s="37"/>
      <c r="C769" s="37"/>
      <c r="D769" s="35"/>
      <c r="E769" s="35"/>
      <c r="F769" s="35"/>
      <c r="G769" s="35"/>
      <c r="H769" s="35"/>
      <c r="I769" s="38"/>
      <c r="J769" s="37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</row>
    <row r="770">
      <c r="A770" s="35"/>
      <c r="B770" s="37"/>
      <c r="C770" s="37"/>
      <c r="D770" s="35"/>
      <c r="E770" s="35"/>
      <c r="F770" s="35"/>
      <c r="G770" s="35"/>
      <c r="H770" s="35"/>
      <c r="I770" s="38"/>
      <c r="J770" s="37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</row>
    <row r="771">
      <c r="A771" s="35"/>
      <c r="B771" s="37"/>
      <c r="C771" s="37"/>
      <c r="D771" s="35"/>
      <c r="E771" s="35"/>
      <c r="F771" s="35"/>
      <c r="G771" s="35"/>
      <c r="H771" s="35"/>
      <c r="I771" s="38"/>
      <c r="J771" s="37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</row>
    <row r="772">
      <c r="A772" s="35"/>
      <c r="B772" s="37"/>
      <c r="C772" s="37"/>
      <c r="D772" s="35"/>
      <c r="E772" s="35"/>
      <c r="F772" s="35"/>
      <c r="G772" s="35"/>
      <c r="H772" s="35"/>
      <c r="I772" s="38"/>
      <c r="J772" s="37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</row>
    <row r="773">
      <c r="A773" s="35"/>
      <c r="B773" s="37"/>
      <c r="C773" s="37"/>
      <c r="D773" s="35"/>
      <c r="E773" s="35"/>
      <c r="F773" s="35"/>
      <c r="G773" s="35"/>
      <c r="H773" s="35"/>
      <c r="I773" s="38"/>
      <c r="J773" s="37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</row>
    <row r="774">
      <c r="A774" s="35"/>
      <c r="B774" s="37"/>
      <c r="C774" s="37"/>
      <c r="D774" s="35"/>
      <c r="E774" s="35"/>
      <c r="F774" s="35"/>
      <c r="G774" s="35"/>
      <c r="H774" s="35"/>
      <c r="I774" s="38"/>
      <c r="J774" s="37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</row>
    <row r="775">
      <c r="A775" s="35"/>
      <c r="B775" s="37"/>
      <c r="C775" s="37"/>
      <c r="D775" s="35"/>
      <c r="E775" s="35"/>
      <c r="F775" s="35"/>
      <c r="G775" s="35"/>
      <c r="H775" s="35"/>
      <c r="I775" s="38"/>
      <c r="J775" s="37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</row>
    <row r="776">
      <c r="A776" s="35"/>
      <c r="B776" s="37"/>
      <c r="C776" s="37"/>
      <c r="D776" s="35"/>
      <c r="E776" s="35"/>
      <c r="F776" s="35"/>
      <c r="G776" s="35"/>
      <c r="H776" s="35"/>
      <c r="I776" s="38"/>
      <c r="J776" s="37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</row>
    <row r="777">
      <c r="A777" s="35"/>
      <c r="B777" s="37"/>
      <c r="C777" s="37"/>
      <c r="D777" s="35"/>
      <c r="E777" s="35"/>
      <c r="F777" s="35"/>
      <c r="G777" s="35"/>
      <c r="H777" s="35"/>
      <c r="I777" s="38"/>
      <c r="J777" s="37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</row>
    <row r="778">
      <c r="A778" s="35"/>
      <c r="B778" s="37"/>
      <c r="C778" s="37"/>
      <c r="D778" s="35"/>
      <c r="E778" s="35"/>
      <c r="F778" s="35"/>
      <c r="G778" s="35"/>
      <c r="H778" s="35"/>
      <c r="I778" s="38"/>
      <c r="J778" s="37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</row>
    <row r="779">
      <c r="A779" s="35"/>
      <c r="B779" s="37"/>
      <c r="C779" s="37"/>
      <c r="D779" s="35"/>
      <c r="E779" s="35"/>
      <c r="F779" s="35"/>
      <c r="G779" s="35"/>
      <c r="H779" s="35"/>
      <c r="I779" s="38"/>
      <c r="J779" s="37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</row>
    <row r="780">
      <c r="A780" s="35"/>
      <c r="B780" s="37"/>
      <c r="C780" s="37"/>
      <c r="D780" s="35"/>
      <c r="E780" s="35"/>
      <c r="F780" s="35"/>
      <c r="G780" s="35"/>
      <c r="H780" s="35"/>
      <c r="I780" s="38"/>
      <c r="J780" s="37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</row>
    <row r="781">
      <c r="A781" s="35"/>
      <c r="B781" s="37"/>
      <c r="C781" s="37"/>
      <c r="D781" s="35"/>
      <c r="E781" s="35"/>
      <c r="F781" s="35"/>
      <c r="G781" s="35"/>
      <c r="H781" s="35"/>
      <c r="I781" s="38"/>
      <c r="J781" s="37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</row>
    <row r="782">
      <c r="A782" s="35"/>
      <c r="B782" s="37"/>
      <c r="C782" s="37"/>
      <c r="D782" s="35"/>
      <c r="E782" s="35"/>
      <c r="F782" s="35"/>
      <c r="G782" s="35"/>
      <c r="H782" s="35"/>
      <c r="I782" s="38"/>
      <c r="J782" s="37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</row>
    <row r="783">
      <c r="A783" s="35"/>
      <c r="B783" s="37"/>
      <c r="C783" s="37"/>
      <c r="D783" s="35"/>
      <c r="E783" s="35"/>
      <c r="F783" s="35"/>
      <c r="G783" s="35"/>
      <c r="H783" s="35"/>
      <c r="I783" s="38"/>
      <c r="J783" s="37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</row>
    <row r="784">
      <c r="A784" s="35"/>
      <c r="B784" s="37"/>
      <c r="C784" s="37"/>
      <c r="D784" s="35"/>
      <c r="E784" s="35"/>
      <c r="F784" s="35"/>
      <c r="G784" s="35"/>
      <c r="H784" s="35"/>
      <c r="I784" s="38"/>
      <c r="J784" s="37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</row>
    <row r="785">
      <c r="A785" s="35"/>
      <c r="B785" s="37"/>
      <c r="C785" s="37"/>
      <c r="D785" s="35"/>
      <c r="E785" s="35"/>
      <c r="F785" s="35"/>
      <c r="G785" s="35"/>
      <c r="H785" s="35"/>
      <c r="I785" s="38"/>
      <c r="J785" s="37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</row>
    <row r="786">
      <c r="A786" s="35"/>
      <c r="B786" s="37"/>
      <c r="C786" s="37"/>
      <c r="D786" s="35"/>
      <c r="E786" s="35"/>
      <c r="F786" s="35"/>
      <c r="G786" s="35"/>
      <c r="H786" s="35"/>
      <c r="I786" s="38"/>
      <c r="J786" s="37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</row>
    <row r="787">
      <c r="A787" s="35"/>
      <c r="B787" s="37"/>
      <c r="C787" s="37"/>
      <c r="D787" s="35"/>
      <c r="E787" s="35"/>
      <c r="F787" s="35"/>
      <c r="G787" s="35"/>
      <c r="H787" s="35"/>
      <c r="I787" s="38"/>
      <c r="J787" s="37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</row>
    <row r="788">
      <c r="A788" s="35"/>
      <c r="B788" s="37"/>
      <c r="C788" s="37"/>
      <c r="D788" s="35"/>
      <c r="E788" s="35"/>
      <c r="F788" s="35"/>
      <c r="G788" s="35"/>
      <c r="H788" s="35"/>
      <c r="I788" s="38"/>
      <c r="J788" s="37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</row>
    <row r="789">
      <c r="A789" s="35"/>
      <c r="B789" s="37"/>
      <c r="C789" s="37"/>
      <c r="D789" s="35"/>
      <c r="E789" s="35"/>
      <c r="F789" s="35"/>
      <c r="G789" s="35"/>
      <c r="H789" s="35"/>
      <c r="I789" s="38"/>
      <c r="J789" s="37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</row>
    <row r="790">
      <c r="A790" s="35"/>
      <c r="B790" s="37"/>
      <c r="C790" s="37"/>
      <c r="D790" s="35"/>
      <c r="E790" s="35"/>
      <c r="F790" s="35"/>
      <c r="G790" s="35"/>
      <c r="H790" s="35"/>
      <c r="I790" s="38"/>
      <c r="J790" s="37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</row>
    <row r="791">
      <c r="A791" s="35"/>
      <c r="B791" s="37"/>
      <c r="C791" s="37"/>
      <c r="D791" s="35"/>
      <c r="E791" s="35"/>
      <c r="F791" s="35"/>
      <c r="G791" s="35"/>
      <c r="H791" s="35"/>
      <c r="I791" s="38"/>
      <c r="J791" s="37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</row>
    <row r="792">
      <c r="A792" s="35"/>
      <c r="B792" s="37"/>
      <c r="C792" s="37"/>
      <c r="D792" s="35"/>
      <c r="E792" s="35"/>
      <c r="F792" s="35"/>
      <c r="G792" s="35"/>
      <c r="H792" s="35"/>
      <c r="I792" s="38"/>
      <c r="J792" s="37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</row>
    <row r="793">
      <c r="A793" s="35"/>
      <c r="B793" s="37"/>
      <c r="C793" s="37"/>
      <c r="D793" s="35"/>
      <c r="E793" s="35"/>
      <c r="F793" s="35"/>
      <c r="G793" s="35"/>
      <c r="H793" s="35"/>
      <c r="I793" s="38"/>
      <c r="J793" s="37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</row>
    <row r="794">
      <c r="A794" s="35"/>
      <c r="B794" s="37"/>
      <c r="C794" s="37"/>
      <c r="D794" s="35"/>
      <c r="E794" s="35"/>
      <c r="F794" s="35"/>
      <c r="G794" s="35"/>
      <c r="H794" s="35"/>
      <c r="I794" s="38"/>
      <c r="J794" s="37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</row>
    <row r="795">
      <c r="A795" s="35"/>
      <c r="B795" s="37"/>
      <c r="C795" s="37"/>
      <c r="D795" s="35"/>
      <c r="E795" s="35"/>
      <c r="F795" s="35"/>
      <c r="G795" s="35"/>
      <c r="H795" s="35"/>
      <c r="I795" s="38"/>
      <c r="J795" s="37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</row>
    <row r="796">
      <c r="A796" s="35"/>
      <c r="B796" s="37"/>
      <c r="C796" s="37"/>
      <c r="D796" s="35"/>
      <c r="E796" s="35"/>
      <c r="F796" s="35"/>
      <c r="G796" s="35"/>
      <c r="H796" s="35"/>
      <c r="I796" s="38"/>
      <c r="J796" s="37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</row>
    <row r="797">
      <c r="A797" s="35"/>
      <c r="B797" s="37"/>
      <c r="C797" s="37"/>
      <c r="D797" s="35"/>
      <c r="E797" s="35"/>
      <c r="F797" s="35"/>
      <c r="G797" s="35"/>
      <c r="H797" s="35"/>
      <c r="I797" s="38"/>
      <c r="J797" s="37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</row>
    <row r="798">
      <c r="A798" s="35"/>
      <c r="B798" s="37"/>
      <c r="C798" s="37"/>
      <c r="D798" s="35"/>
      <c r="E798" s="35"/>
      <c r="F798" s="35"/>
      <c r="G798" s="35"/>
      <c r="H798" s="35"/>
      <c r="I798" s="38"/>
      <c r="J798" s="37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</row>
    <row r="799">
      <c r="A799" s="35"/>
      <c r="B799" s="37"/>
      <c r="C799" s="37"/>
      <c r="D799" s="35"/>
      <c r="E799" s="35"/>
      <c r="F799" s="35"/>
      <c r="G799" s="35"/>
      <c r="H799" s="35"/>
      <c r="I799" s="38"/>
      <c r="J799" s="37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</row>
    <row r="800">
      <c r="A800" s="35"/>
      <c r="B800" s="37"/>
      <c r="C800" s="37"/>
      <c r="D800" s="35"/>
      <c r="E800" s="35"/>
      <c r="F800" s="35"/>
      <c r="G800" s="35"/>
      <c r="H800" s="35"/>
      <c r="I800" s="38"/>
      <c r="J800" s="37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</row>
    <row r="801">
      <c r="A801" s="35"/>
      <c r="B801" s="37"/>
      <c r="C801" s="37"/>
      <c r="D801" s="35"/>
      <c r="E801" s="35"/>
      <c r="F801" s="35"/>
      <c r="G801" s="35"/>
      <c r="H801" s="35"/>
      <c r="I801" s="38"/>
      <c r="J801" s="37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</row>
    <row r="802">
      <c r="A802" s="35"/>
      <c r="B802" s="37"/>
      <c r="C802" s="37"/>
      <c r="D802" s="35"/>
      <c r="E802" s="35"/>
      <c r="F802" s="35"/>
      <c r="G802" s="35"/>
      <c r="H802" s="35"/>
      <c r="I802" s="38"/>
      <c r="J802" s="37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</row>
    <row r="803">
      <c r="A803" s="35"/>
      <c r="B803" s="37"/>
      <c r="C803" s="37"/>
      <c r="D803" s="35"/>
      <c r="E803" s="35"/>
      <c r="F803" s="35"/>
      <c r="G803" s="35"/>
      <c r="H803" s="35"/>
      <c r="I803" s="38"/>
      <c r="J803" s="37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</row>
    <row r="804">
      <c r="A804" s="35"/>
      <c r="B804" s="37"/>
      <c r="C804" s="37"/>
      <c r="D804" s="35"/>
      <c r="E804" s="35"/>
      <c r="F804" s="35"/>
      <c r="G804" s="35"/>
      <c r="H804" s="35"/>
      <c r="I804" s="38"/>
      <c r="J804" s="37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</row>
    <row r="805">
      <c r="A805" s="35"/>
      <c r="B805" s="37"/>
      <c r="C805" s="37"/>
      <c r="D805" s="35"/>
      <c r="E805" s="35"/>
      <c r="F805" s="35"/>
      <c r="G805" s="35"/>
      <c r="H805" s="35"/>
      <c r="I805" s="38"/>
      <c r="J805" s="37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</row>
    <row r="806">
      <c r="A806" s="35"/>
      <c r="B806" s="37"/>
      <c r="C806" s="37"/>
      <c r="D806" s="35"/>
      <c r="E806" s="35"/>
      <c r="F806" s="35"/>
      <c r="G806" s="35"/>
      <c r="H806" s="35"/>
      <c r="I806" s="38"/>
      <c r="J806" s="37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</row>
    <row r="807">
      <c r="A807" s="35"/>
      <c r="B807" s="37"/>
      <c r="C807" s="37"/>
      <c r="D807" s="35"/>
      <c r="E807" s="35"/>
      <c r="F807" s="35"/>
      <c r="G807" s="35"/>
      <c r="H807" s="35"/>
      <c r="I807" s="38"/>
      <c r="J807" s="37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</row>
    <row r="808">
      <c r="A808" s="35"/>
      <c r="B808" s="37"/>
      <c r="C808" s="37"/>
      <c r="D808" s="35"/>
      <c r="E808" s="35"/>
      <c r="F808" s="35"/>
      <c r="G808" s="35"/>
      <c r="H808" s="35"/>
      <c r="I808" s="38"/>
      <c r="J808" s="37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</row>
    <row r="809">
      <c r="A809" s="35"/>
      <c r="B809" s="37"/>
      <c r="C809" s="37"/>
      <c r="D809" s="35"/>
      <c r="E809" s="35"/>
      <c r="F809" s="35"/>
      <c r="G809" s="35"/>
      <c r="H809" s="35"/>
      <c r="I809" s="38"/>
      <c r="J809" s="37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</row>
    <row r="810">
      <c r="A810" s="35"/>
      <c r="B810" s="37"/>
      <c r="C810" s="37"/>
      <c r="D810" s="35"/>
      <c r="E810" s="35"/>
      <c r="F810" s="35"/>
      <c r="G810" s="35"/>
      <c r="H810" s="35"/>
      <c r="I810" s="38"/>
      <c r="J810" s="37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</row>
    <row r="811">
      <c r="A811" s="35"/>
      <c r="B811" s="37"/>
      <c r="C811" s="37"/>
      <c r="D811" s="35"/>
      <c r="E811" s="35"/>
      <c r="F811" s="35"/>
      <c r="G811" s="35"/>
      <c r="H811" s="35"/>
      <c r="I811" s="38"/>
      <c r="J811" s="37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</row>
    <row r="812">
      <c r="A812" s="35"/>
      <c r="B812" s="37"/>
      <c r="C812" s="37"/>
      <c r="D812" s="35"/>
      <c r="E812" s="35"/>
      <c r="F812" s="35"/>
      <c r="G812" s="35"/>
      <c r="H812" s="35"/>
      <c r="I812" s="38"/>
      <c r="J812" s="37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</row>
    <row r="813">
      <c r="A813" s="35"/>
      <c r="B813" s="37"/>
      <c r="C813" s="37"/>
      <c r="D813" s="35"/>
      <c r="E813" s="35"/>
      <c r="F813" s="35"/>
      <c r="G813" s="35"/>
      <c r="H813" s="35"/>
      <c r="I813" s="38"/>
      <c r="J813" s="37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</row>
    <row r="814">
      <c r="A814" s="35"/>
      <c r="B814" s="37"/>
      <c r="C814" s="37"/>
      <c r="D814" s="35"/>
      <c r="E814" s="35"/>
      <c r="F814" s="35"/>
      <c r="G814" s="35"/>
      <c r="H814" s="35"/>
      <c r="I814" s="38"/>
      <c r="J814" s="37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</row>
    <row r="815">
      <c r="A815" s="35"/>
      <c r="B815" s="37"/>
      <c r="C815" s="37"/>
      <c r="D815" s="35"/>
      <c r="E815" s="35"/>
      <c r="F815" s="35"/>
      <c r="G815" s="35"/>
      <c r="H815" s="35"/>
      <c r="I815" s="38"/>
      <c r="J815" s="37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</row>
    <row r="816">
      <c r="A816" s="35"/>
      <c r="B816" s="37"/>
      <c r="C816" s="37"/>
      <c r="D816" s="35"/>
      <c r="E816" s="35"/>
      <c r="F816" s="35"/>
      <c r="G816" s="35"/>
      <c r="H816" s="35"/>
      <c r="I816" s="38"/>
      <c r="J816" s="37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</row>
    <row r="817">
      <c r="A817" s="35"/>
      <c r="B817" s="37"/>
      <c r="C817" s="37"/>
      <c r="D817" s="35"/>
      <c r="E817" s="35"/>
      <c r="F817" s="35"/>
      <c r="G817" s="35"/>
      <c r="H817" s="35"/>
      <c r="I817" s="38"/>
      <c r="J817" s="37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</row>
    <row r="818">
      <c r="A818" s="35"/>
      <c r="B818" s="37"/>
      <c r="C818" s="37"/>
      <c r="D818" s="35"/>
      <c r="E818" s="35"/>
      <c r="F818" s="35"/>
      <c r="G818" s="35"/>
      <c r="H818" s="35"/>
      <c r="I818" s="38"/>
      <c r="J818" s="37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</row>
    <row r="819">
      <c r="A819" s="35"/>
      <c r="B819" s="37"/>
      <c r="C819" s="37"/>
      <c r="D819" s="35"/>
      <c r="E819" s="35"/>
      <c r="F819" s="35"/>
      <c r="G819" s="35"/>
      <c r="H819" s="35"/>
      <c r="I819" s="38"/>
      <c r="J819" s="37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</row>
    <row r="820">
      <c r="A820" s="35"/>
      <c r="B820" s="37"/>
      <c r="C820" s="37"/>
      <c r="D820" s="35"/>
      <c r="E820" s="35"/>
      <c r="F820" s="35"/>
      <c r="G820" s="35"/>
      <c r="H820" s="35"/>
      <c r="I820" s="38"/>
      <c r="J820" s="37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</row>
    <row r="821">
      <c r="A821" s="35"/>
      <c r="B821" s="37"/>
      <c r="C821" s="37"/>
      <c r="D821" s="35"/>
      <c r="E821" s="35"/>
      <c r="F821" s="35"/>
      <c r="G821" s="35"/>
      <c r="H821" s="35"/>
      <c r="I821" s="38"/>
      <c r="J821" s="37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</row>
    <row r="822">
      <c r="A822" s="35"/>
      <c r="B822" s="37"/>
      <c r="C822" s="37"/>
      <c r="D822" s="35"/>
      <c r="E822" s="35"/>
      <c r="F822" s="35"/>
      <c r="G822" s="35"/>
      <c r="H822" s="35"/>
      <c r="I822" s="38"/>
      <c r="J822" s="37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</row>
    <row r="823">
      <c r="A823" s="35"/>
      <c r="B823" s="37"/>
      <c r="C823" s="37"/>
      <c r="D823" s="35"/>
      <c r="E823" s="35"/>
      <c r="F823" s="35"/>
      <c r="G823" s="35"/>
      <c r="H823" s="35"/>
      <c r="I823" s="38"/>
      <c r="J823" s="37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</row>
    <row r="824">
      <c r="A824" s="35"/>
      <c r="B824" s="37"/>
      <c r="C824" s="37"/>
      <c r="D824" s="35"/>
      <c r="E824" s="35"/>
      <c r="F824" s="35"/>
      <c r="G824" s="35"/>
      <c r="H824" s="35"/>
      <c r="I824" s="38"/>
      <c r="J824" s="37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</row>
    <row r="825">
      <c r="A825" s="35"/>
      <c r="B825" s="37"/>
      <c r="C825" s="37"/>
      <c r="D825" s="35"/>
      <c r="E825" s="35"/>
      <c r="F825" s="35"/>
      <c r="G825" s="35"/>
      <c r="H825" s="35"/>
      <c r="I825" s="38"/>
      <c r="J825" s="37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</row>
    <row r="826">
      <c r="A826" s="35"/>
      <c r="B826" s="37"/>
      <c r="C826" s="37"/>
      <c r="D826" s="35"/>
      <c r="E826" s="35"/>
      <c r="F826" s="35"/>
      <c r="G826" s="35"/>
      <c r="H826" s="35"/>
      <c r="I826" s="38"/>
      <c r="J826" s="37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</row>
    <row r="827">
      <c r="A827" s="35"/>
      <c r="B827" s="37"/>
      <c r="C827" s="37"/>
      <c r="D827" s="35"/>
      <c r="E827" s="35"/>
      <c r="F827" s="35"/>
      <c r="G827" s="35"/>
      <c r="H827" s="35"/>
      <c r="I827" s="38"/>
      <c r="J827" s="37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</row>
    <row r="828">
      <c r="A828" s="35"/>
      <c r="B828" s="37"/>
      <c r="C828" s="37"/>
      <c r="D828" s="35"/>
      <c r="E828" s="35"/>
      <c r="F828" s="35"/>
      <c r="G828" s="35"/>
      <c r="H828" s="35"/>
      <c r="I828" s="38"/>
      <c r="J828" s="37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</row>
    <row r="829">
      <c r="A829" s="35"/>
      <c r="B829" s="37"/>
      <c r="C829" s="37"/>
      <c r="D829" s="35"/>
      <c r="E829" s="35"/>
      <c r="F829" s="35"/>
      <c r="G829" s="35"/>
      <c r="H829" s="35"/>
      <c r="I829" s="38"/>
      <c r="J829" s="37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</row>
    <row r="830">
      <c r="A830" s="35"/>
      <c r="B830" s="37"/>
      <c r="C830" s="37"/>
      <c r="D830" s="35"/>
      <c r="E830" s="35"/>
      <c r="F830" s="35"/>
      <c r="G830" s="35"/>
      <c r="H830" s="35"/>
      <c r="I830" s="38"/>
      <c r="J830" s="37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</row>
    <row r="831">
      <c r="A831" s="35"/>
      <c r="B831" s="37"/>
      <c r="C831" s="37"/>
      <c r="D831" s="35"/>
      <c r="E831" s="35"/>
      <c r="F831" s="35"/>
      <c r="G831" s="35"/>
      <c r="H831" s="35"/>
      <c r="I831" s="38"/>
      <c r="J831" s="37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</row>
    <row r="832">
      <c r="A832" s="35"/>
      <c r="B832" s="37"/>
      <c r="C832" s="37"/>
      <c r="D832" s="35"/>
      <c r="E832" s="35"/>
      <c r="F832" s="35"/>
      <c r="G832" s="35"/>
      <c r="H832" s="35"/>
      <c r="I832" s="38"/>
      <c r="J832" s="37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</row>
    <row r="833">
      <c r="A833" s="35"/>
      <c r="B833" s="37"/>
      <c r="C833" s="37"/>
      <c r="D833" s="35"/>
      <c r="E833" s="35"/>
      <c r="F833" s="35"/>
      <c r="G833" s="35"/>
      <c r="H833" s="35"/>
      <c r="I833" s="38"/>
      <c r="J833" s="37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</row>
    <row r="834">
      <c r="A834" s="35"/>
      <c r="B834" s="37"/>
      <c r="C834" s="37"/>
      <c r="D834" s="35"/>
      <c r="E834" s="35"/>
      <c r="F834" s="35"/>
      <c r="G834" s="35"/>
      <c r="H834" s="35"/>
      <c r="I834" s="38"/>
      <c r="J834" s="37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</row>
    <row r="835">
      <c r="A835" s="35"/>
      <c r="B835" s="37"/>
      <c r="C835" s="37"/>
      <c r="D835" s="35"/>
      <c r="E835" s="35"/>
      <c r="F835" s="35"/>
      <c r="G835" s="35"/>
      <c r="H835" s="35"/>
      <c r="I835" s="38"/>
      <c r="J835" s="37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</row>
    <row r="836">
      <c r="A836" s="35"/>
      <c r="B836" s="37"/>
      <c r="C836" s="37"/>
      <c r="D836" s="35"/>
      <c r="E836" s="35"/>
      <c r="F836" s="35"/>
      <c r="G836" s="35"/>
      <c r="H836" s="35"/>
      <c r="I836" s="38"/>
      <c r="J836" s="37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</row>
    <row r="837">
      <c r="A837" s="35"/>
      <c r="B837" s="37"/>
      <c r="C837" s="37"/>
      <c r="D837" s="35"/>
      <c r="E837" s="35"/>
      <c r="F837" s="35"/>
      <c r="G837" s="35"/>
      <c r="H837" s="35"/>
      <c r="I837" s="38"/>
      <c r="J837" s="37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</row>
    <row r="838">
      <c r="A838" s="35"/>
      <c r="B838" s="37"/>
      <c r="C838" s="37"/>
      <c r="D838" s="35"/>
      <c r="E838" s="35"/>
      <c r="F838" s="35"/>
      <c r="G838" s="35"/>
      <c r="H838" s="35"/>
      <c r="I838" s="38"/>
      <c r="J838" s="37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</row>
    <row r="839">
      <c r="A839" s="35"/>
      <c r="B839" s="37"/>
      <c r="C839" s="37"/>
      <c r="D839" s="35"/>
      <c r="E839" s="35"/>
      <c r="F839" s="35"/>
      <c r="G839" s="35"/>
      <c r="H839" s="35"/>
      <c r="I839" s="38"/>
      <c r="J839" s="37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</row>
    <row r="840">
      <c r="A840" s="35"/>
      <c r="B840" s="37"/>
      <c r="C840" s="37"/>
      <c r="D840" s="35"/>
      <c r="E840" s="35"/>
      <c r="F840" s="35"/>
      <c r="G840" s="35"/>
      <c r="H840" s="35"/>
      <c r="I840" s="38"/>
      <c r="J840" s="37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</row>
    <row r="841">
      <c r="A841" s="35"/>
      <c r="B841" s="37"/>
      <c r="C841" s="37"/>
      <c r="D841" s="35"/>
      <c r="E841" s="35"/>
      <c r="F841" s="35"/>
      <c r="G841" s="35"/>
      <c r="H841" s="35"/>
      <c r="I841" s="38"/>
      <c r="J841" s="37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</row>
    <row r="842">
      <c r="A842" s="35"/>
      <c r="B842" s="37"/>
      <c r="C842" s="37"/>
      <c r="D842" s="35"/>
      <c r="E842" s="35"/>
      <c r="F842" s="35"/>
      <c r="G842" s="35"/>
      <c r="H842" s="35"/>
      <c r="I842" s="38"/>
      <c r="J842" s="37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</row>
    <row r="843">
      <c r="A843" s="35"/>
      <c r="B843" s="37"/>
      <c r="C843" s="37"/>
      <c r="D843" s="35"/>
      <c r="E843" s="35"/>
      <c r="F843" s="35"/>
      <c r="G843" s="35"/>
      <c r="H843" s="35"/>
      <c r="I843" s="38"/>
      <c r="J843" s="37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</row>
    <row r="844">
      <c r="A844" s="35"/>
      <c r="B844" s="37"/>
      <c r="C844" s="37"/>
      <c r="D844" s="35"/>
      <c r="E844" s="35"/>
      <c r="F844" s="35"/>
      <c r="G844" s="35"/>
      <c r="H844" s="35"/>
      <c r="I844" s="38"/>
      <c r="J844" s="37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</row>
    <row r="845">
      <c r="A845" s="35"/>
      <c r="B845" s="37"/>
      <c r="C845" s="37"/>
      <c r="D845" s="35"/>
      <c r="E845" s="35"/>
      <c r="F845" s="35"/>
      <c r="G845" s="35"/>
      <c r="H845" s="35"/>
      <c r="I845" s="38"/>
      <c r="J845" s="37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</row>
    <row r="846">
      <c r="A846" s="35"/>
      <c r="B846" s="37"/>
      <c r="C846" s="37"/>
      <c r="D846" s="35"/>
      <c r="E846" s="35"/>
      <c r="F846" s="35"/>
      <c r="G846" s="35"/>
      <c r="H846" s="35"/>
      <c r="I846" s="38"/>
      <c r="J846" s="37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</row>
    <row r="847">
      <c r="A847" s="35"/>
      <c r="B847" s="37"/>
      <c r="C847" s="37"/>
      <c r="D847" s="35"/>
      <c r="E847" s="35"/>
      <c r="F847" s="35"/>
      <c r="G847" s="35"/>
      <c r="H847" s="35"/>
      <c r="I847" s="38"/>
      <c r="J847" s="37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</row>
    <row r="848">
      <c r="A848" s="35"/>
      <c r="B848" s="37"/>
      <c r="C848" s="37"/>
      <c r="D848" s="35"/>
      <c r="E848" s="35"/>
      <c r="F848" s="35"/>
      <c r="G848" s="35"/>
      <c r="H848" s="35"/>
      <c r="I848" s="38"/>
      <c r="J848" s="37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</row>
    <row r="849">
      <c r="A849" s="35"/>
      <c r="B849" s="37"/>
      <c r="C849" s="37"/>
      <c r="D849" s="35"/>
      <c r="E849" s="35"/>
      <c r="F849" s="35"/>
      <c r="G849" s="35"/>
      <c r="H849" s="35"/>
      <c r="I849" s="38"/>
      <c r="J849" s="37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</row>
    <row r="850">
      <c r="A850" s="35"/>
      <c r="B850" s="37"/>
      <c r="C850" s="37"/>
      <c r="D850" s="35"/>
      <c r="E850" s="35"/>
      <c r="F850" s="35"/>
      <c r="G850" s="35"/>
      <c r="H850" s="35"/>
      <c r="I850" s="38"/>
      <c r="J850" s="37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</row>
    <row r="851">
      <c r="A851" s="35"/>
      <c r="B851" s="37"/>
      <c r="C851" s="37"/>
      <c r="D851" s="35"/>
      <c r="E851" s="35"/>
      <c r="F851" s="35"/>
      <c r="G851" s="35"/>
      <c r="H851" s="35"/>
      <c r="I851" s="38"/>
      <c r="J851" s="37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</row>
    <row r="852">
      <c r="A852" s="35"/>
      <c r="B852" s="37"/>
      <c r="C852" s="37"/>
      <c r="D852" s="35"/>
      <c r="E852" s="35"/>
      <c r="F852" s="35"/>
      <c r="G852" s="35"/>
      <c r="H852" s="35"/>
      <c r="I852" s="38"/>
      <c r="J852" s="37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</row>
    <row r="853">
      <c r="A853" s="35"/>
      <c r="B853" s="37"/>
      <c r="C853" s="37"/>
      <c r="D853" s="35"/>
      <c r="E853" s="35"/>
      <c r="F853" s="35"/>
      <c r="G853" s="35"/>
      <c r="H853" s="35"/>
      <c r="I853" s="38"/>
      <c r="J853" s="37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</row>
    <row r="854">
      <c r="A854" s="35"/>
      <c r="B854" s="37"/>
      <c r="C854" s="37"/>
      <c r="D854" s="35"/>
      <c r="E854" s="35"/>
      <c r="F854" s="35"/>
      <c r="G854" s="35"/>
      <c r="H854" s="35"/>
      <c r="I854" s="38"/>
      <c r="J854" s="37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</row>
    <row r="855">
      <c r="A855" s="35"/>
      <c r="B855" s="37"/>
      <c r="C855" s="37"/>
      <c r="D855" s="35"/>
      <c r="E855" s="35"/>
      <c r="F855" s="35"/>
      <c r="G855" s="35"/>
      <c r="H855" s="35"/>
      <c r="I855" s="38"/>
      <c r="J855" s="37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</row>
    <row r="856">
      <c r="A856" s="35"/>
      <c r="B856" s="37"/>
      <c r="C856" s="37"/>
      <c r="D856" s="35"/>
      <c r="E856" s="35"/>
      <c r="F856" s="35"/>
      <c r="G856" s="35"/>
      <c r="H856" s="35"/>
      <c r="I856" s="38"/>
      <c r="J856" s="37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</row>
    <row r="857">
      <c r="A857" s="35"/>
      <c r="B857" s="37"/>
      <c r="C857" s="37"/>
      <c r="D857" s="35"/>
      <c r="E857" s="35"/>
      <c r="F857" s="35"/>
      <c r="G857" s="35"/>
      <c r="H857" s="35"/>
      <c r="I857" s="38"/>
      <c r="J857" s="37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</row>
    <row r="858">
      <c r="A858" s="35"/>
      <c r="B858" s="37"/>
      <c r="C858" s="37"/>
      <c r="D858" s="35"/>
      <c r="E858" s="35"/>
      <c r="F858" s="35"/>
      <c r="G858" s="35"/>
      <c r="H858" s="35"/>
      <c r="I858" s="38"/>
      <c r="J858" s="37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</row>
    <row r="859">
      <c r="A859" s="35"/>
      <c r="B859" s="37"/>
      <c r="C859" s="37"/>
      <c r="D859" s="35"/>
      <c r="E859" s="35"/>
      <c r="F859" s="35"/>
      <c r="G859" s="35"/>
      <c r="H859" s="35"/>
      <c r="I859" s="38"/>
      <c r="J859" s="37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</row>
    <row r="860">
      <c r="A860" s="35"/>
      <c r="B860" s="37"/>
      <c r="C860" s="37"/>
      <c r="D860" s="35"/>
      <c r="E860" s="35"/>
      <c r="F860" s="35"/>
      <c r="G860" s="35"/>
      <c r="H860" s="35"/>
      <c r="I860" s="38"/>
      <c r="J860" s="37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</row>
    <row r="861">
      <c r="A861" s="35"/>
      <c r="B861" s="37"/>
      <c r="C861" s="37"/>
      <c r="D861" s="35"/>
      <c r="E861" s="35"/>
      <c r="F861" s="35"/>
      <c r="G861" s="35"/>
      <c r="H861" s="35"/>
      <c r="I861" s="38"/>
      <c r="J861" s="37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</row>
    <row r="862">
      <c r="A862" s="35"/>
      <c r="B862" s="37"/>
      <c r="C862" s="37"/>
      <c r="D862" s="35"/>
      <c r="E862" s="35"/>
      <c r="F862" s="35"/>
      <c r="G862" s="35"/>
      <c r="H862" s="35"/>
      <c r="I862" s="38"/>
      <c r="J862" s="37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</row>
    <row r="863">
      <c r="A863" s="35"/>
      <c r="B863" s="37"/>
      <c r="C863" s="37"/>
      <c r="D863" s="35"/>
      <c r="E863" s="35"/>
      <c r="F863" s="35"/>
      <c r="G863" s="35"/>
      <c r="H863" s="35"/>
      <c r="I863" s="38"/>
      <c r="J863" s="37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</row>
    <row r="864">
      <c r="A864" s="35"/>
      <c r="B864" s="37"/>
      <c r="C864" s="37"/>
      <c r="D864" s="35"/>
      <c r="E864" s="35"/>
      <c r="F864" s="35"/>
      <c r="G864" s="35"/>
      <c r="H864" s="35"/>
      <c r="I864" s="38"/>
      <c r="J864" s="37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</row>
    <row r="865">
      <c r="A865" s="35"/>
      <c r="B865" s="37"/>
      <c r="C865" s="37"/>
      <c r="D865" s="35"/>
      <c r="E865" s="35"/>
      <c r="F865" s="35"/>
      <c r="G865" s="35"/>
      <c r="H865" s="35"/>
      <c r="I865" s="38"/>
      <c r="J865" s="37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</row>
    <row r="866">
      <c r="A866" s="35"/>
      <c r="B866" s="37"/>
      <c r="C866" s="37"/>
      <c r="D866" s="35"/>
      <c r="E866" s="35"/>
      <c r="F866" s="35"/>
      <c r="G866" s="35"/>
      <c r="H866" s="35"/>
      <c r="I866" s="38"/>
      <c r="J866" s="37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</row>
    <row r="867">
      <c r="A867" s="35"/>
      <c r="B867" s="37"/>
      <c r="C867" s="37"/>
      <c r="D867" s="35"/>
      <c r="E867" s="35"/>
      <c r="F867" s="35"/>
      <c r="G867" s="35"/>
      <c r="H867" s="35"/>
      <c r="I867" s="38"/>
      <c r="J867" s="37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</row>
    <row r="868">
      <c r="A868" s="35"/>
      <c r="B868" s="37"/>
      <c r="C868" s="37"/>
      <c r="D868" s="35"/>
      <c r="E868" s="35"/>
      <c r="F868" s="35"/>
      <c r="G868" s="35"/>
      <c r="H868" s="35"/>
      <c r="I868" s="38"/>
      <c r="J868" s="37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</row>
    <row r="869">
      <c r="A869" s="35"/>
      <c r="B869" s="37"/>
      <c r="C869" s="37"/>
      <c r="D869" s="35"/>
      <c r="E869" s="35"/>
      <c r="F869" s="35"/>
      <c r="G869" s="35"/>
      <c r="H869" s="35"/>
      <c r="I869" s="38"/>
      <c r="J869" s="37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</row>
    <row r="870">
      <c r="A870" s="35"/>
      <c r="B870" s="37"/>
      <c r="C870" s="37"/>
      <c r="D870" s="35"/>
      <c r="E870" s="35"/>
      <c r="F870" s="35"/>
      <c r="G870" s="35"/>
      <c r="H870" s="35"/>
      <c r="I870" s="38"/>
      <c r="J870" s="37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</row>
    <row r="871">
      <c r="A871" s="35"/>
      <c r="B871" s="37"/>
      <c r="C871" s="37"/>
      <c r="D871" s="35"/>
      <c r="E871" s="35"/>
      <c r="F871" s="35"/>
      <c r="G871" s="35"/>
      <c r="H871" s="35"/>
      <c r="I871" s="38"/>
      <c r="J871" s="37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</row>
    <row r="872">
      <c r="A872" s="35"/>
      <c r="B872" s="37"/>
      <c r="C872" s="37"/>
      <c r="D872" s="35"/>
      <c r="E872" s="35"/>
      <c r="F872" s="35"/>
      <c r="G872" s="35"/>
      <c r="H872" s="35"/>
      <c r="I872" s="38"/>
      <c r="J872" s="37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</row>
    <row r="873">
      <c r="A873" s="35"/>
      <c r="B873" s="37"/>
      <c r="C873" s="37"/>
      <c r="D873" s="35"/>
      <c r="E873" s="35"/>
      <c r="F873" s="35"/>
      <c r="G873" s="35"/>
      <c r="H873" s="35"/>
      <c r="I873" s="38"/>
      <c r="J873" s="37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</row>
    <row r="874">
      <c r="A874" s="35"/>
      <c r="B874" s="37"/>
      <c r="C874" s="37"/>
      <c r="D874" s="35"/>
      <c r="E874" s="35"/>
      <c r="F874" s="35"/>
      <c r="G874" s="35"/>
      <c r="H874" s="35"/>
      <c r="I874" s="38"/>
      <c r="J874" s="37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</row>
    <row r="875">
      <c r="A875" s="35"/>
      <c r="B875" s="37"/>
      <c r="C875" s="37"/>
      <c r="D875" s="35"/>
      <c r="E875" s="35"/>
      <c r="F875" s="35"/>
      <c r="G875" s="35"/>
      <c r="H875" s="35"/>
      <c r="I875" s="38"/>
      <c r="J875" s="37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</row>
    <row r="876">
      <c r="A876" s="35"/>
      <c r="B876" s="37"/>
      <c r="C876" s="37"/>
      <c r="D876" s="35"/>
      <c r="E876" s="35"/>
      <c r="F876" s="35"/>
      <c r="G876" s="35"/>
      <c r="H876" s="35"/>
      <c r="I876" s="38"/>
      <c r="J876" s="37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</row>
    <row r="877">
      <c r="A877" s="35"/>
      <c r="B877" s="37"/>
      <c r="C877" s="37"/>
      <c r="D877" s="35"/>
      <c r="E877" s="35"/>
      <c r="F877" s="35"/>
      <c r="G877" s="35"/>
      <c r="H877" s="35"/>
      <c r="I877" s="38"/>
      <c r="J877" s="37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</row>
    <row r="878">
      <c r="A878" s="35"/>
      <c r="B878" s="37"/>
      <c r="C878" s="37"/>
      <c r="D878" s="35"/>
      <c r="E878" s="35"/>
      <c r="F878" s="35"/>
      <c r="G878" s="35"/>
      <c r="H878" s="35"/>
      <c r="I878" s="38"/>
      <c r="J878" s="37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</row>
    <row r="879">
      <c r="A879" s="35"/>
      <c r="B879" s="37"/>
      <c r="C879" s="37"/>
      <c r="D879" s="35"/>
      <c r="E879" s="35"/>
      <c r="F879" s="35"/>
      <c r="G879" s="35"/>
      <c r="H879" s="35"/>
      <c r="I879" s="38"/>
      <c r="J879" s="37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</row>
    <row r="880">
      <c r="A880" s="35"/>
      <c r="B880" s="37"/>
      <c r="C880" s="37"/>
      <c r="D880" s="35"/>
      <c r="E880" s="35"/>
      <c r="F880" s="35"/>
      <c r="G880" s="35"/>
      <c r="H880" s="35"/>
      <c r="I880" s="38"/>
      <c r="J880" s="37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</row>
    <row r="881">
      <c r="A881" s="35"/>
      <c r="B881" s="37"/>
      <c r="C881" s="37"/>
      <c r="D881" s="35"/>
      <c r="E881" s="35"/>
      <c r="F881" s="35"/>
      <c r="G881" s="35"/>
      <c r="H881" s="35"/>
      <c r="I881" s="38"/>
      <c r="J881" s="37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</row>
    <row r="882">
      <c r="A882" s="35"/>
      <c r="B882" s="37"/>
      <c r="C882" s="37"/>
      <c r="D882" s="35"/>
      <c r="E882" s="35"/>
      <c r="F882" s="35"/>
      <c r="G882" s="35"/>
      <c r="H882" s="35"/>
      <c r="I882" s="38"/>
      <c r="J882" s="37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</row>
    <row r="883">
      <c r="A883" s="35"/>
      <c r="B883" s="37"/>
      <c r="C883" s="37"/>
      <c r="D883" s="35"/>
      <c r="E883" s="35"/>
      <c r="F883" s="35"/>
      <c r="G883" s="35"/>
      <c r="H883" s="35"/>
      <c r="I883" s="38"/>
      <c r="J883" s="37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</row>
    <row r="884">
      <c r="A884" s="35"/>
      <c r="B884" s="37"/>
      <c r="C884" s="37"/>
      <c r="D884" s="35"/>
      <c r="E884" s="35"/>
      <c r="F884" s="35"/>
      <c r="G884" s="35"/>
      <c r="H884" s="35"/>
      <c r="I884" s="38"/>
      <c r="J884" s="37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</row>
    <row r="885">
      <c r="A885" s="35"/>
      <c r="B885" s="37"/>
      <c r="C885" s="37"/>
      <c r="D885" s="35"/>
      <c r="E885" s="35"/>
      <c r="F885" s="35"/>
      <c r="G885" s="35"/>
      <c r="H885" s="35"/>
      <c r="I885" s="38"/>
      <c r="J885" s="37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</row>
    <row r="886">
      <c r="A886" s="35"/>
      <c r="B886" s="37"/>
      <c r="C886" s="37"/>
      <c r="D886" s="35"/>
      <c r="E886" s="35"/>
      <c r="F886" s="35"/>
      <c r="G886" s="35"/>
      <c r="H886" s="35"/>
      <c r="I886" s="38"/>
      <c r="J886" s="37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</row>
    <row r="887">
      <c r="A887" s="35"/>
      <c r="B887" s="37"/>
      <c r="C887" s="37"/>
      <c r="D887" s="35"/>
      <c r="E887" s="35"/>
      <c r="F887" s="35"/>
      <c r="G887" s="35"/>
      <c r="H887" s="35"/>
      <c r="I887" s="38"/>
      <c r="J887" s="37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</row>
    <row r="888">
      <c r="A888" s="35"/>
      <c r="B888" s="37"/>
      <c r="C888" s="37"/>
      <c r="D888" s="35"/>
      <c r="E888" s="35"/>
      <c r="F888" s="35"/>
      <c r="G888" s="35"/>
      <c r="H888" s="35"/>
      <c r="I888" s="38"/>
      <c r="J888" s="37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</row>
    <row r="889">
      <c r="A889" s="35"/>
      <c r="B889" s="37"/>
      <c r="C889" s="37"/>
      <c r="D889" s="35"/>
      <c r="E889" s="35"/>
      <c r="F889" s="35"/>
      <c r="G889" s="35"/>
      <c r="H889" s="35"/>
      <c r="I889" s="38"/>
      <c r="J889" s="37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</row>
    <row r="890">
      <c r="A890" s="35"/>
      <c r="B890" s="37"/>
      <c r="C890" s="37"/>
      <c r="D890" s="35"/>
      <c r="E890" s="35"/>
      <c r="F890" s="35"/>
      <c r="G890" s="35"/>
      <c r="H890" s="35"/>
      <c r="I890" s="38"/>
      <c r="J890" s="37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</row>
    <row r="891">
      <c r="A891" s="35"/>
      <c r="B891" s="37"/>
      <c r="C891" s="37"/>
      <c r="D891" s="35"/>
      <c r="E891" s="35"/>
      <c r="F891" s="35"/>
      <c r="G891" s="35"/>
      <c r="H891" s="35"/>
      <c r="I891" s="38"/>
      <c r="J891" s="37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</row>
    <row r="892">
      <c r="A892" s="35"/>
      <c r="B892" s="37"/>
      <c r="C892" s="37"/>
      <c r="D892" s="35"/>
      <c r="E892" s="35"/>
      <c r="F892" s="35"/>
      <c r="G892" s="35"/>
      <c r="H892" s="35"/>
      <c r="I892" s="38"/>
      <c r="J892" s="37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</row>
    <row r="893">
      <c r="A893" s="35"/>
      <c r="B893" s="37"/>
      <c r="C893" s="37"/>
      <c r="D893" s="35"/>
      <c r="E893" s="35"/>
      <c r="F893" s="35"/>
      <c r="G893" s="35"/>
      <c r="H893" s="35"/>
      <c r="I893" s="38"/>
      <c r="J893" s="37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</row>
    <row r="894">
      <c r="A894" s="35"/>
      <c r="B894" s="37"/>
      <c r="C894" s="37"/>
      <c r="D894" s="35"/>
      <c r="E894" s="35"/>
      <c r="F894" s="35"/>
      <c r="G894" s="35"/>
      <c r="H894" s="35"/>
      <c r="I894" s="38"/>
      <c r="J894" s="37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</row>
    <row r="895">
      <c r="A895" s="35"/>
      <c r="B895" s="37"/>
      <c r="C895" s="37"/>
      <c r="D895" s="35"/>
      <c r="E895" s="35"/>
      <c r="F895" s="35"/>
      <c r="G895" s="35"/>
      <c r="H895" s="35"/>
      <c r="I895" s="38"/>
      <c r="J895" s="37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</row>
    <row r="896">
      <c r="A896" s="35"/>
      <c r="B896" s="37"/>
      <c r="C896" s="37"/>
      <c r="D896" s="35"/>
      <c r="E896" s="35"/>
      <c r="F896" s="35"/>
      <c r="G896" s="35"/>
      <c r="H896" s="35"/>
      <c r="I896" s="38"/>
      <c r="J896" s="37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</row>
    <row r="897">
      <c r="A897" s="35"/>
      <c r="B897" s="37"/>
      <c r="C897" s="37"/>
      <c r="D897" s="35"/>
      <c r="E897" s="35"/>
      <c r="F897" s="35"/>
      <c r="G897" s="35"/>
      <c r="H897" s="35"/>
      <c r="I897" s="38"/>
      <c r="J897" s="37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</row>
    <row r="898">
      <c r="A898" s="35"/>
      <c r="B898" s="37"/>
      <c r="C898" s="37"/>
      <c r="D898" s="35"/>
      <c r="E898" s="35"/>
      <c r="F898" s="35"/>
      <c r="G898" s="35"/>
      <c r="H898" s="35"/>
      <c r="I898" s="38"/>
      <c r="J898" s="37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</row>
    <row r="899">
      <c r="A899" s="35"/>
      <c r="B899" s="37"/>
      <c r="C899" s="37"/>
      <c r="D899" s="35"/>
      <c r="E899" s="35"/>
      <c r="F899" s="35"/>
      <c r="G899" s="35"/>
      <c r="H899" s="35"/>
      <c r="I899" s="38"/>
      <c r="J899" s="37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</row>
    <row r="900">
      <c r="A900" s="35"/>
      <c r="B900" s="37"/>
      <c r="C900" s="37"/>
      <c r="D900" s="35"/>
      <c r="E900" s="35"/>
      <c r="F900" s="35"/>
      <c r="G900" s="35"/>
      <c r="H900" s="35"/>
      <c r="I900" s="38"/>
      <c r="J900" s="37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</row>
    <row r="901">
      <c r="A901" s="35"/>
      <c r="B901" s="37"/>
      <c r="C901" s="37"/>
      <c r="D901" s="35"/>
      <c r="E901" s="35"/>
      <c r="F901" s="35"/>
      <c r="G901" s="35"/>
      <c r="H901" s="35"/>
      <c r="I901" s="38"/>
      <c r="J901" s="37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</row>
    <row r="902">
      <c r="A902" s="35"/>
      <c r="B902" s="37"/>
      <c r="C902" s="37"/>
      <c r="D902" s="35"/>
      <c r="E902" s="35"/>
      <c r="F902" s="35"/>
      <c r="G902" s="35"/>
      <c r="H902" s="35"/>
      <c r="I902" s="38"/>
      <c r="J902" s="37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</row>
    <row r="903">
      <c r="A903" s="35"/>
      <c r="B903" s="37"/>
      <c r="C903" s="37"/>
      <c r="D903" s="35"/>
      <c r="E903" s="35"/>
      <c r="F903" s="35"/>
      <c r="G903" s="35"/>
      <c r="H903" s="35"/>
      <c r="I903" s="38"/>
      <c r="J903" s="37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</row>
    <row r="904">
      <c r="A904" s="35"/>
      <c r="B904" s="37"/>
      <c r="C904" s="37"/>
      <c r="D904" s="35"/>
      <c r="E904" s="35"/>
      <c r="F904" s="35"/>
      <c r="G904" s="35"/>
      <c r="H904" s="35"/>
      <c r="I904" s="38"/>
      <c r="J904" s="37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</row>
    <row r="905">
      <c r="A905" s="35"/>
      <c r="B905" s="37"/>
      <c r="C905" s="37"/>
      <c r="D905" s="35"/>
      <c r="E905" s="35"/>
      <c r="F905" s="35"/>
      <c r="G905" s="35"/>
      <c r="H905" s="35"/>
      <c r="I905" s="38"/>
      <c r="J905" s="37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</row>
    <row r="906">
      <c r="A906" s="35"/>
      <c r="B906" s="37"/>
      <c r="C906" s="37"/>
      <c r="D906" s="35"/>
      <c r="E906" s="35"/>
      <c r="F906" s="35"/>
      <c r="G906" s="35"/>
      <c r="H906" s="35"/>
      <c r="I906" s="38"/>
      <c r="J906" s="37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</row>
    <row r="907">
      <c r="A907" s="35"/>
      <c r="B907" s="37"/>
      <c r="C907" s="37"/>
      <c r="D907" s="35"/>
      <c r="E907" s="35"/>
      <c r="F907" s="35"/>
      <c r="G907" s="35"/>
      <c r="H907" s="35"/>
      <c r="I907" s="38"/>
      <c r="J907" s="37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</row>
    <row r="908">
      <c r="A908" s="35"/>
      <c r="B908" s="37"/>
      <c r="C908" s="37"/>
      <c r="D908" s="35"/>
      <c r="E908" s="35"/>
      <c r="F908" s="35"/>
      <c r="G908" s="35"/>
      <c r="H908" s="35"/>
      <c r="I908" s="38"/>
      <c r="J908" s="37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</row>
    <row r="909">
      <c r="A909" s="35"/>
      <c r="B909" s="37"/>
      <c r="C909" s="37"/>
      <c r="D909" s="35"/>
      <c r="E909" s="35"/>
      <c r="F909" s="35"/>
      <c r="G909" s="35"/>
      <c r="H909" s="35"/>
      <c r="I909" s="38"/>
      <c r="J909" s="37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</row>
    <row r="910">
      <c r="A910" s="35"/>
      <c r="B910" s="37"/>
      <c r="C910" s="37"/>
      <c r="D910" s="35"/>
      <c r="E910" s="35"/>
      <c r="F910" s="35"/>
      <c r="G910" s="35"/>
      <c r="H910" s="35"/>
      <c r="I910" s="38"/>
      <c r="J910" s="37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</row>
    <row r="911">
      <c r="A911" s="35"/>
      <c r="B911" s="37"/>
      <c r="C911" s="37"/>
      <c r="D911" s="35"/>
      <c r="E911" s="35"/>
      <c r="F911" s="35"/>
      <c r="G911" s="35"/>
      <c r="H911" s="35"/>
      <c r="I911" s="38"/>
      <c r="J911" s="37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</row>
    <row r="912">
      <c r="A912" s="35"/>
      <c r="B912" s="37"/>
      <c r="C912" s="37"/>
      <c r="D912" s="35"/>
      <c r="E912" s="35"/>
      <c r="F912" s="35"/>
      <c r="G912" s="35"/>
      <c r="H912" s="35"/>
      <c r="I912" s="38"/>
      <c r="J912" s="37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</row>
    <row r="913">
      <c r="A913" s="35"/>
      <c r="B913" s="37"/>
      <c r="C913" s="37"/>
      <c r="D913" s="35"/>
      <c r="E913" s="35"/>
      <c r="F913" s="35"/>
      <c r="G913" s="35"/>
      <c r="H913" s="35"/>
      <c r="I913" s="38"/>
      <c r="J913" s="37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</row>
    <row r="914">
      <c r="A914" s="35"/>
      <c r="B914" s="37"/>
      <c r="C914" s="37"/>
      <c r="D914" s="35"/>
      <c r="E914" s="35"/>
      <c r="F914" s="35"/>
      <c r="G914" s="35"/>
      <c r="H914" s="35"/>
      <c r="I914" s="38"/>
      <c r="J914" s="37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</row>
    <row r="915">
      <c r="A915" s="35"/>
      <c r="B915" s="37"/>
      <c r="C915" s="37"/>
      <c r="D915" s="35"/>
      <c r="E915" s="35"/>
      <c r="F915" s="35"/>
      <c r="G915" s="35"/>
      <c r="H915" s="35"/>
      <c r="I915" s="38"/>
      <c r="J915" s="37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</row>
    <row r="916">
      <c r="A916" s="35"/>
      <c r="B916" s="37"/>
      <c r="C916" s="37"/>
      <c r="D916" s="35"/>
      <c r="E916" s="35"/>
      <c r="F916" s="35"/>
      <c r="G916" s="35"/>
      <c r="H916" s="35"/>
      <c r="I916" s="38"/>
      <c r="J916" s="37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</row>
    <row r="917">
      <c r="A917" s="35"/>
      <c r="B917" s="37"/>
      <c r="C917" s="37"/>
      <c r="D917" s="35"/>
      <c r="E917" s="35"/>
      <c r="F917" s="35"/>
      <c r="G917" s="35"/>
      <c r="H917" s="35"/>
      <c r="I917" s="38"/>
      <c r="J917" s="37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</row>
    <row r="918">
      <c r="A918" s="35"/>
      <c r="B918" s="37"/>
      <c r="C918" s="37"/>
      <c r="D918" s="35"/>
      <c r="E918" s="35"/>
      <c r="F918" s="35"/>
      <c r="G918" s="35"/>
      <c r="H918" s="35"/>
      <c r="I918" s="38"/>
      <c r="J918" s="37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</row>
    <row r="919">
      <c r="A919" s="35"/>
      <c r="B919" s="37"/>
      <c r="C919" s="37"/>
      <c r="D919" s="35"/>
      <c r="E919" s="35"/>
      <c r="F919" s="35"/>
      <c r="G919" s="35"/>
      <c r="H919" s="35"/>
      <c r="I919" s="38"/>
      <c r="J919" s="37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</row>
    <row r="920">
      <c r="A920" s="35"/>
      <c r="B920" s="37"/>
      <c r="C920" s="37"/>
      <c r="D920" s="35"/>
      <c r="E920" s="35"/>
      <c r="F920" s="35"/>
      <c r="G920" s="35"/>
      <c r="H920" s="35"/>
      <c r="I920" s="38"/>
      <c r="J920" s="37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</row>
    <row r="921">
      <c r="A921" s="35"/>
      <c r="B921" s="37"/>
      <c r="C921" s="37"/>
      <c r="D921" s="35"/>
      <c r="E921" s="35"/>
      <c r="F921" s="35"/>
      <c r="G921" s="35"/>
      <c r="H921" s="35"/>
      <c r="I921" s="38"/>
      <c r="J921" s="37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</row>
    <row r="922">
      <c r="A922" s="35"/>
      <c r="B922" s="37"/>
      <c r="C922" s="37"/>
      <c r="D922" s="35"/>
      <c r="E922" s="35"/>
      <c r="F922" s="35"/>
      <c r="G922" s="35"/>
      <c r="H922" s="35"/>
      <c r="I922" s="38"/>
      <c r="J922" s="37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</row>
    <row r="923">
      <c r="A923" s="35"/>
      <c r="B923" s="37"/>
      <c r="C923" s="37"/>
      <c r="D923" s="35"/>
      <c r="E923" s="35"/>
      <c r="F923" s="35"/>
      <c r="G923" s="35"/>
      <c r="H923" s="35"/>
      <c r="I923" s="38"/>
      <c r="J923" s="37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</row>
    <row r="924">
      <c r="A924" s="35"/>
      <c r="B924" s="37"/>
      <c r="C924" s="37"/>
      <c r="D924" s="35"/>
      <c r="E924" s="35"/>
      <c r="F924" s="35"/>
      <c r="G924" s="35"/>
      <c r="H924" s="35"/>
      <c r="I924" s="38"/>
      <c r="J924" s="37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</row>
    <row r="925">
      <c r="A925" s="35"/>
      <c r="B925" s="37"/>
      <c r="C925" s="37"/>
      <c r="D925" s="35"/>
      <c r="E925" s="35"/>
      <c r="F925" s="35"/>
      <c r="G925" s="35"/>
      <c r="H925" s="35"/>
      <c r="I925" s="38"/>
      <c r="J925" s="37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</row>
    <row r="926">
      <c r="A926" s="35"/>
      <c r="B926" s="37"/>
      <c r="C926" s="37"/>
      <c r="D926" s="35"/>
      <c r="E926" s="35"/>
      <c r="F926" s="35"/>
      <c r="G926" s="35"/>
      <c r="H926" s="35"/>
      <c r="I926" s="38"/>
      <c r="J926" s="37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</row>
    <row r="927">
      <c r="A927" s="35"/>
      <c r="B927" s="37"/>
      <c r="C927" s="37"/>
      <c r="D927" s="35"/>
      <c r="E927" s="35"/>
      <c r="F927" s="35"/>
      <c r="G927" s="35"/>
      <c r="H927" s="35"/>
      <c r="I927" s="38"/>
      <c r="J927" s="37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</row>
    <row r="928">
      <c r="A928" s="35"/>
      <c r="B928" s="37"/>
      <c r="C928" s="37"/>
      <c r="D928" s="35"/>
      <c r="E928" s="35"/>
      <c r="F928" s="35"/>
      <c r="G928" s="35"/>
      <c r="H928" s="35"/>
      <c r="I928" s="38"/>
      <c r="J928" s="37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</row>
    <row r="929">
      <c r="A929" s="35"/>
      <c r="B929" s="37"/>
      <c r="C929" s="37"/>
      <c r="D929" s="35"/>
      <c r="E929" s="35"/>
      <c r="F929" s="35"/>
      <c r="G929" s="35"/>
      <c r="H929" s="35"/>
      <c r="I929" s="38"/>
      <c r="J929" s="37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</row>
    <row r="930">
      <c r="A930" s="35"/>
      <c r="B930" s="37"/>
      <c r="C930" s="37"/>
      <c r="D930" s="35"/>
      <c r="E930" s="35"/>
      <c r="F930" s="35"/>
      <c r="G930" s="35"/>
      <c r="H930" s="35"/>
      <c r="I930" s="38"/>
      <c r="J930" s="37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</row>
    <row r="931">
      <c r="A931" s="35"/>
      <c r="B931" s="37"/>
      <c r="C931" s="37"/>
      <c r="D931" s="35"/>
      <c r="E931" s="35"/>
      <c r="F931" s="35"/>
      <c r="G931" s="35"/>
      <c r="H931" s="35"/>
      <c r="I931" s="38"/>
      <c r="J931" s="37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</row>
    <row r="932">
      <c r="A932" s="35"/>
      <c r="B932" s="37"/>
      <c r="C932" s="37"/>
      <c r="D932" s="35"/>
      <c r="E932" s="35"/>
      <c r="F932" s="35"/>
      <c r="G932" s="35"/>
      <c r="H932" s="35"/>
      <c r="I932" s="38"/>
      <c r="J932" s="37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</row>
    <row r="933">
      <c r="A933" s="35"/>
      <c r="B933" s="37"/>
      <c r="C933" s="37"/>
      <c r="D933" s="35"/>
      <c r="E933" s="35"/>
      <c r="F933" s="35"/>
      <c r="G933" s="35"/>
      <c r="H933" s="35"/>
      <c r="I933" s="38"/>
      <c r="J933" s="37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</row>
    <row r="934">
      <c r="A934" s="35"/>
      <c r="B934" s="37"/>
      <c r="C934" s="37"/>
      <c r="D934" s="35"/>
      <c r="E934" s="35"/>
      <c r="F934" s="35"/>
      <c r="G934" s="35"/>
      <c r="H934" s="35"/>
      <c r="I934" s="38"/>
      <c r="J934" s="37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</row>
    <row r="935">
      <c r="A935" s="35"/>
      <c r="B935" s="37"/>
      <c r="C935" s="37"/>
      <c r="D935" s="35"/>
      <c r="E935" s="35"/>
      <c r="F935" s="35"/>
      <c r="G935" s="35"/>
      <c r="H935" s="35"/>
      <c r="I935" s="38"/>
      <c r="J935" s="37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</row>
    <row r="936">
      <c r="A936" s="35"/>
      <c r="B936" s="37"/>
      <c r="C936" s="37"/>
      <c r="D936" s="35"/>
      <c r="E936" s="35"/>
      <c r="F936" s="35"/>
      <c r="G936" s="35"/>
      <c r="H936" s="35"/>
      <c r="I936" s="38"/>
      <c r="J936" s="37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</row>
    <row r="937">
      <c r="A937" s="35"/>
      <c r="B937" s="37"/>
      <c r="C937" s="37"/>
      <c r="D937" s="35"/>
      <c r="E937" s="35"/>
      <c r="F937" s="35"/>
      <c r="G937" s="35"/>
      <c r="H937" s="35"/>
      <c r="I937" s="38"/>
      <c r="J937" s="37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</row>
    <row r="938">
      <c r="A938" s="35"/>
      <c r="B938" s="37"/>
      <c r="C938" s="37"/>
      <c r="D938" s="35"/>
      <c r="E938" s="35"/>
      <c r="F938" s="35"/>
      <c r="G938" s="35"/>
      <c r="H938" s="35"/>
      <c r="I938" s="38"/>
      <c r="J938" s="37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</row>
    <row r="939">
      <c r="A939" s="35"/>
      <c r="B939" s="37"/>
      <c r="C939" s="37"/>
      <c r="D939" s="35"/>
      <c r="E939" s="35"/>
      <c r="F939" s="35"/>
      <c r="G939" s="35"/>
      <c r="H939" s="35"/>
      <c r="I939" s="38"/>
      <c r="J939" s="37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</row>
    <row r="940">
      <c r="A940" s="35"/>
      <c r="B940" s="37"/>
      <c r="C940" s="37"/>
      <c r="D940" s="35"/>
      <c r="E940" s="35"/>
      <c r="F940" s="35"/>
      <c r="G940" s="35"/>
      <c r="H940" s="35"/>
      <c r="I940" s="38"/>
      <c r="J940" s="37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</row>
    <row r="941">
      <c r="A941" s="35"/>
      <c r="B941" s="37"/>
      <c r="C941" s="37"/>
      <c r="D941" s="35"/>
      <c r="E941" s="35"/>
      <c r="F941" s="35"/>
      <c r="G941" s="35"/>
      <c r="H941" s="35"/>
      <c r="I941" s="38"/>
      <c r="J941" s="37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</row>
    <row r="942">
      <c r="A942" s="35"/>
      <c r="B942" s="37"/>
      <c r="C942" s="37"/>
      <c r="D942" s="35"/>
      <c r="E942" s="35"/>
      <c r="F942" s="35"/>
      <c r="G942" s="35"/>
      <c r="H942" s="35"/>
      <c r="I942" s="38"/>
      <c r="J942" s="37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</row>
    <row r="943">
      <c r="A943" s="35"/>
      <c r="B943" s="37"/>
      <c r="C943" s="37"/>
      <c r="D943" s="35"/>
      <c r="E943" s="35"/>
      <c r="F943" s="35"/>
      <c r="G943" s="35"/>
      <c r="H943" s="35"/>
      <c r="I943" s="38"/>
      <c r="J943" s="37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</row>
    <row r="944">
      <c r="A944" s="35"/>
      <c r="B944" s="37"/>
      <c r="C944" s="37"/>
      <c r="D944" s="35"/>
      <c r="E944" s="35"/>
      <c r="F944" s="35"/>
      <c r="G944" s="35"/>
      <c r="H944" s="35"/>
      <c r="I944" s="38"/>
      <c r="J944" s="37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</row>
    <row r="945">
      <c r="A945" s="35"/>
      <c r="B945" s="37"/>
      <c r="C945" s="37"/>
      <c r="D945" s="35"/>
      <c r="E945" s="35"/>
      <c r="F945" s="35"/>
      <c r="G945" s="35"/>
      <c r="H945" s="35"/>
      <c r="I945" s="38"/>
      <c r="J945" s="37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</row>
    <row r="946">
      <c r="A946" s="35"/>
      <c r="B946" s="37"/>
      <c r="C946" s="37"/>
      <c r="D946" s="35"/>
      <c r="E946" s="35"/>
      <c r="F946" s="35"/>
      <c r="G946" s="35"/>
      <c r="H946" s="35"/>
      <c r="I946" s="38"/>
      <c r="J946" s="37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</row>
    <row r="947">
      <c r="A947" s="35"/>
      <c r="B947" s="37"/>
      <c r="C947" s="37"/>
      <c r="D947" s="35"/>
      <c r="E947" s="35"/>
      <c r="F947" s="35"/>
      <c r="G947" s="35"/>
      <c r="H947" s="35"/>
      <c r="I947" s="38"/>
      <c r="J947" s="37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</row>
    <row r="948">
      <c r="A948" s="35"/>
      <c r="B948" s="37"/>
      <c r="C948" s="37"/>
      <c r="D948" s="35"/>
      <c r="E948" s="35"/>
      <c r="F948" s="35"/>
      <c r="G948" s="35"/>
      <c r="H948" s="35"/>
      <c r="I948" s="38"/>
      <c r="J948" s="37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</row>
    <row r="949">
      <c r="A949" s="35"/>
      <c r="B949" s="37"/>
      <c r="C949" s="37"/>
      <c r="D949" s="35"/>
      <c r="E949" s="35"/>
      <c r="F949" s="35"/>
      <c r="G949" s="35"/>
      <c r="H949" s="35"/>
      <c r="I949" s="38"/>
      <c r="J949" s="37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</row>
    <row r="950">
      <c r="A950" s="35"/>
      <c r="B950" s="37"/>
      <c r="C950" s="37"/>
      <c r="D950" s="35"/>
      <c r="E950" s="35"/>
      <c r="F950" s="35"/>
      <c r="G950" s="35"/>
      <c r="H950" s="35"/>
      <c r="I950" s="38"/>
      <c r="J950" s="37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</row>
    <row r="951">
      <c r="A951" s="35"/>
      <c r="B951" s="37"/>
      <c r="C951" s="37"/>
      <c r="D951" s="35"/>
      <c r="E951" s="35"/>
      <c r="F951" s="35"/>
      <c r="G951" s="35"/>
      <c r="H951" s="35"/>
      <c r="I951" s="38"/>
      <c r="J951" s="37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5" t="s">
        <v>579</v>
      </c>
      <c r="B1" s="5" t="s">
        <v>131</v>
      </c>
      <c r="C1" s="5" t="s">
        <v>399</v>
      </c>
      <c r="D1" s="5" t="s">
        <v>414</v>
      </c>
      <c r="E1" s="5" t="s">
        <v>417</v>
      </c>
    </row>
    <row r="2">
      <c r="A2" s="5" t="s">
        <v>77</v>
      </c>
    </row>
    <row r="3">
      <c r="A3" s="5" t="s">
        <v>171</v>
      </c>
      <c r="D3" s="5" t="s">
        <v>580</v>
      </c>
    </row>
    <row r="4">
      <c r="A4" s="5" t="s">
        <v>171</v>
      </c>
      <c r="D4" s="5" t="s">
        <v>581</v>
      </c>
    </row>
    <row r="5">
      <c r="A5" s="5" t="s">
        <v>171</v>
      </c>
      <c r="D5" s="5" t="s">
        <v>582</v>
      </c>
    </row>
    <row r="6">
      <c r="A6" s="5" t="s">
        <v>171</v>
      </c>
      <c r="D6" s="5" t="s">
        <v>583</v>
      </c>
    </row>
    <row r="7">
      <c r="A7" s="5" t="s">
        <v>195</v>
      </c>
      <c r="D7" s="5" t="s">
        <v>585</v>
      </c>
    </row>
    <row r="8">
      <c r="A8" s="5" t="s">
        <v>195</v>
      </c>
      <c r="D8" s="5" t="s">
        <v>586</v>
      </c>
    </row>
    <row r="9">
      <c r="A9" s="5" t="s">
        <v>210</v>
      </c>
    </row>
    <row r="10">
      <c r="A10" s="5" t="s">
        <v>223</v>
      </c>
      <c r="D10" s="5" t="s">
        <v>587</v>
      </c>
    </row>
    <row r="11">
      <c r="A11" s="5" t="s">
        <v>223</v>
      </c>
      <c r="D11" s="5" t="s">
        <v>588</v>
      </c>
    </row>
    <row r="12">
      <c r="A12" s="5" t="s">
        <v>241</v>
      </c>
    </row>
    <row r="13">
      <c r="A13" s="5" t="s">
        <v>430</v>
      </c>
    </row>
    <row r="14">
      <c r="A14" s="5" t="s">
        <v>464</v>
      </c>
      <c r="D14" s="5" t="s">
        <v>589</v>
      </c>
    </row>
    <row r="15">
      <c r="A15" s="5" t="s">
        <v>464</v>
      </c>
      <c r="D15" s="5" t="s">
        <v>590</v>
      </c>
    </row>
    <row r="16">
      <c r="A16" s="5" t="s">
        <v>464</v>
      </c>
      <c r="D16" s="5" t="s">
        <v>591</v>
      </c>
    </row>
    <row r="17">
      <c r="A17" s="5" t="s">
        <v>464</v>
      </c>
      <c r="D17" s="5" t="s">
        <v>592</v>
      </c>
    </row>
    <row r="18">
      <c r="A18" s="5" t="s">
        <v>464</v>
      </c>
      <c r="D18" s="5" t="s">
        <v>583</v>
      </c>
    </row>
    <row r="19">
      <c r="A19" s="5" t="s">
        <v>464</v>
      </c>
      <c r="D19" s="5" t="s">
        <v>594</v>
      </c>
    </row>
    <row r="20">
      <c r="A20" s="5" t="s">
        <v>464</v>
      </c>
      <c r="D20" s="5" t="s">
        <v>595</v>
      </c>
    </row>
    <row r="21">
      <c r="A21" s="5" t="s">
        <v>475</v>
      </c>
      <c r="D21" s="5" t="s">
        <v>596</v>
      </c>
    </row>
    <row r="22">
      <c r="A22" s="5" t="s">
        <v>475</v>
      </c>
      <c r="D22" s="5" t="s">
        <v>597</v>
      </c>
    </row>
    <row r="23">
      <c r="A23" s="5" t="s">
        <v>475</v>
      </c>
      <c r="D23" s="5" t="s">
        <v>583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5" t="s">
        <v>391</v>
      </c>
      <c r="B1" s="5" t="s">
        <v>131</v>
      </c>
      <c r="C1" s="5" t="s">
        <v>399</v>
      </c>
      <c r="D1" s="5" t="s">
        <v>402</v>
      </c>
      <c r="E1" s="5" t="s">
        <v>403</v>
      </c>
      <c r="F1" s="5" t="s">
        <v>405</v>
      </c>
      <c r="G1" s="5" t="s">
        <v>410</v>
      </c>
      <c r="H1" s="5" t="s">
        <v>412</v>
      </c>
      <c r="I1" s="5" t="s">
        <v>414</v>
      </c>
      <c r="J1" s="5" t="s">
        <v>417</v>
      </c>
    </row>
    <row r="2">
      <c r="A2" s="5" t="s">
        <v>77</v>
      </c>
    </row>
    <row r="3">
      <c r="A3" s="5" t="s">
        <v>22</v>
      </c>
    </row>
    <row r="4">
      <c r="A4" s="5" t="s">
        <v>29</v>
      </c>
    </row>
    <row r="5">
      <c r="A5" s="5" t="s">
        <v>34</v>
      </c>
    </row>
    <row r="6">
      <c r="A6" s="5" t="s">
        <v>38</v>
      </c>
    </row>
    <row r="7">
      <c r="A7" s="5" t="s">
        <v>43</v>
      </c>
    </row>
    <row r="8">
      <c r="A8" s="5" t="s">
        <v>48</v>
      </c>
    </row>
    <row r="9">
      <c r="A9" s="5" t="s">
        <v>224</v>
      </c>
    </row>
    <row r="10">
      <c r="A10" s="5" t="s">
        <v>61</v>
      </c>
    </row>
    <row r="11">
      <c r="A11" s="5" t="s">
        <v>67</v>
      </c>
    </row>
    <row r="12">
      <c r="A12" s="5" t="s">
        <v>72</v>
      </c>
    </row>
    <row r="13">
      <c r="A13" s="5" t="s">
        <v>74</v>
      </c>
    </row>
    <row r="14">
      <c r="A14" s="5" t="s">
        <v>79</v>
      </c>
    </row>
    <row r="15">
      <c r="A15" s="5" t="s">
        <v>82</v>
      </c>
    </row>
    <row r="16">
      <c r="A16" s="5" t="s">
        <v>564</v>
      </c>
    </row>
    <row r="17">
      <c r="A17" s="5" t="s">
        <v>90</v>
      </c>
    </row>
    <row r="18">
      <c r="A18" s="5" t="s">
        <v>573</v>
      </c>
    </row>
    <row r="19">
      <c r="A19" s="5" t="s">
        <v>101</v>
      </c>
    </row>
    <row r="20">
      <c r="A20" s="5" t="s">
        <v>107</v>
      </c>
    </row>
    <row r="21">
      <c r="A21" s="5" t="s">
        <v>111</v>
      </c>
    </row>
    <row r="22">
      <c r="A22" s="5" t="s">
        <v>119</v>
      </c>
    </row>
    <row r="23">
      <c r="A23" s="5" t="s">
        <v>124</v>
      </c>
    </row>
    <row r="24">
      <c r="A24" s="5" t="s">
        <v>600</v>
      </c>
    </row>
    <row r="25">
      <c r="A25" s="5" t="s">
        <v>133</v>
      </c>
    </row>
    <row r="26">
      <c r="A26" s="5" t="s">
        <v>137</v>
      </c>
    </row>
    <row r="27">
      <c r="A27" s="5" t="s">
        <v>140</v>
      </c>
    </row>
    <row r="28">
      <c r="A28" s="5" t="s">
        <v>143</v>
      </c>
    </row>
    <row r="29">
      <c r="A29" s="5" t="s">
        <v>147</v>
      </c>
    </row>
    <row r="30">
      <c r="A30" s="5" t="s">
        <v>149</v>
      </c>
    </row>
    <row r="31">
      <c r="A31" s="5" t="s">
        <v>152</v>
      </c>
    </row>
    <row r="32">
      <c r="A32" s="5" t="s">
        <v>155</v>
      </c>
    </row>
    <row r="33">
      <c r="A33" s="5" t="s">
        <v>158</v>
      </c>
    </row>
    <row r="34">
      <c r="A34" s="5" t="s">
        <v>162</v>
      </c>
    </row>
    <row r="35">
      <c r="A35" s="5" t="s">
        <v>165</v>
      </c>
    </row>
    <row r="36">
      <c r="A36" s="5" t="s">
        <v>171</v>
      </c>
    </row>
    <row r="37">
      <c r="A37" s="5" t="s">
        <v>176</v>
      </c>
    </row>
    <row r="38">
      <c r="A38" s="5" t="s">
        <v>178</v>
      </c>
    </row>
    <row r="39">
      <c r="A39" s="5" t="s">
        <v>182</v>
      </c>
    </row>
    <row r="40">
      <c r="A40" s="5" t="s">
        <v>186</v>
      </c>
    </row>
    <row r="41">
      <c r="A41" s="5" t="s">
        <v>191</v>
      </c>
    </row>
    <row r="42">
      <c r="A42" s="5" t="s">
        <v>195</v>
      </c>
    </row>
    <row r="43">
      <c r="A43" s="5" t="s">
        <v>197</v>
      </c>
    </row>
    <row r="44">
      <c r="A44" s="5" t="s">
        <v>199</v>
      </c>
    </row>
    <row r="45">
      <c r="A45" s="5" t="s">
        <v>203</v>
      </c>
    </row>
    <row r="46">
      <c r="A46" s="5" t="s">
        <v>210</v>
      </c>
    </row>
    <row r="47">
      <c r="A47" s="5" t="s">
        <v>214</v>
      </c>
    </row>
    <row r="48">
      <c r="A48" s="5" t="s">
        <v>218</v>
      </c>
    </row>
    <row r="49">
      <c r="A49" s="5" t="s">
        <v>223</v>
      </c>
    </row>
    <row r="50">
      <c r="A50" s="5" t="s">
        <v>229</v>
      </c>
    </row>
    <row r="51">
      <c r="A51" s="5" t="s">
        <v>234</v>
      </c>
    </row>
    <row r="52">
      <c r="A52" s="5" t="s">
        <v>239</v>
      </c>
    </row>
    <row r="53">
      <c r="A53" s="5" t="s">
        <v>241</v>
      </c>
    </row>
    <row r="54">
      <c r="A54" s="5" t="s">
        <v>246</v>
      </c>
    </row>
    <row r="55">
      <c r="A55" s="5" t="s">
        <v>615</v>
      </c>
    </row>
    <row r="56">
      <c r="A56" s="5" t="s">
        <v>251</v>
      </c>
    </row>
    <row r="57">
      <c r="A57" s="5" t="s">
        <v>255</v>
      </c>
    </row>
    <row r="58">
      <c r="A58" s="5" t="s">
        <v>259</v>
      </c>
    </row>
    <row r="59">
      <c r="A59" s="5" t="s">
        <v>263</v>
      </c>
    </row>
    <row r="60">
      <c r="A60" s="5" t="s">
        <v>616</v>
      </c>
    </row>
    <row r="61">
      <c r="A61" s="5" t="s">
        <v>272</v>
      </c>
    </row>
    <row r="62">
      <c r="A62" s="5" t="s">
        <v>275</v>
      </c>
    </row>
    <row r="63">
      <c r="A63" s="5" t="s">
        <v>279</v>
      </c>
    </row>
    <row r="64">
      <c r="A64" s="5" t="s">
        <v>286</v>
      </c>
    </row>
    <row r="65">
      <c r="A65" s="5" t="s">
        <v>290</v>
      </c>
    </row>
    <row r="66">
      <c r="A66" s="5" t="s">
        <v>295</v>
      </c>
    </row>
    <row r="67">
      <c r="A67" s="5" t="s">
        <v>301</v>
      </c>
    </row>
    <row r="68">
      <c r="A68" s="5" t="s">
        <v>307</v>
      </c>
    </row>
    <row r="69">
      <c r="A69" s="5" t="s">
        <v>311</v>
      </c>
    </row>
    <row r="70">
      <c r="A70" s="5" t="s">
        <v>314</v>
      </c>
    </row>
    <row r="71">
      <c r="A71" s="5" t="s">
        <v>319</v>
      </c>
    </row>
    <row r="72">
      <c r="A72" s="5" t="s">
        <v>323</v>
      </c>
    </row>
    <row r="73">
      <c r="A73" s="5" t="s">
        <v>324</v>
      </c>
    </row>
    <row r="74">
      <c r="A74" s="5" t="s">
        <v>325</v>
      </c>
    </row>
    <row r="75">
      <c r="A75" s="5" t="s">
        <v>326</v>
      </c>
    </row>
    <row r="76">
      <c r="A76" s="5" t="s">
        <v>327</v>
      </c>
    </row>
    <row r="77">
      <c r="A77" s="5" t="s">
        <v>328</v>
      </c>
    </row>
    <row r="78">
      <c r="A78" s="5" t="s">
        <v>330</v>
      </c>
    </row>
    <row r="79">
      <c r="A79" s="5" t="s">
        <v>331</v>
      </c>
    </row>
    <row r="80">
      <c r="A80" s="5" t="s">
        <v>334</v>
      </c>
    </row>
    <row r="81">
      <c r="A81" s="5" t="s">
        <v>338</v>
      </c>
    </row>
    <row r="82">
      <c r="A82" s="5" t="s">
        <v>342</v>
      </c>
    </row>
    <row r="83">
      <c r="A83" s="5" t="s">
        <v>619</v>
      </c>
    </row>
    <row r="84">
      <c r="A84" s="5" t="s">
        <v>620</v>
      </c>
    </row>
    <row r="85">
      <c r="A85" s="5" t="s">
        <v>349</v>
      </c>
    </row>
    <row r="86">
      <c r="A86" s="5" t="s">
        <v>352</v>
      </c>
    </row>
    <row r="87">
      <c r="A87" s="5" t="s">
        <v>355</v>
      </c>
    </row>
    <row r="88">
      <c r="A88" s="5" t="s">
        <v>361</v>
      </c>
    </row>
    <row r="89">
      <c r="A89" s="5" t="s">
        <v>362</v>
      </c>
    </row>
    <row r="90">
      <c r="A90" s="5" t="s">
        <v>365</v>
      </c>
    </row>
    <row r="91">
      <c r="A91" s="5" t="s">
        <v>368</v>
      </c>
    </row>
    <row r="92">
      <c r="A92" s="5" t="s">
        <v>372</v>
      </c>
    </row>
    <row r="93">
      <c r="A93" s="5" t="s">
        <v>377</v>
      </c>
    </row>
    <row r="94">
      <c r="A94" s="5" t="s">
        <v>622</v>
      </c>
    </row>
    <row r="95">
      <c r="A95" s="5" t="s">
        <v>623</v>
      </c>
    </row>
    <row r="96">
      <c r="A96" s="5" t="s">
        <v>624</v>
      </c>
    </row>
    <row r="97">
      <c r="A97" s="5" t="s">
        <v>625</v>
      </c>
    </row>
    <row r="98">
      <c r="A98" s="5" t="s">
        <v>626</v>
      </c>
    </row>
    <row r="99">
      <c r="A99" s="5" t="s">
        <v>398</v>
      </c>
    </row>
    <row r="100">
      <c r="A100" s="5" t="s">
        <v>627</v>
      </c>
    </row>
    <row r="101">
      <c r="A101" s="5" t="s">
        <v>413</v>
      </c>
    </row>
    <row r="102">
      <c r="A102" s="5" t="s">
        <v>418</v>
      </c>
    </row>
    <row r="103">
      <c r="A103" s="5" t="s">
        <v>421</v>
      </c>
    </row>
    <row r="104">
      <c r="A104" s="5" t="s">
        <v>425</v>
      </c>
    </row>
    <row r="105">
      <c r="A105" s="5" t="s">
        <v>430</v>
      </c>
    </row>
    <row r="106">
      <c r="A106" s="5" t="s">
        <v>433</v>
      </c>
    </row>
    <row r="107">
      <c r="A107" s="5" t="s">
        <v>436</v>
      </c>
    </row>
    <row r="108">
      <c r="A108" s="5" t="s">
        <v>439</v>
      </c>
    </row>
    <row r="109">
      <c r="A109" s="5" t="s">
        <v>629</v>
      </c>
    </row>
    <row r="110">
      <c r="A110" s="5" t="s">
        <v>442</v>
      </c>
    </row>
    <row r="111">
      <c r="A111" s="5" t="s">
        <v>448</v>
      </c>
    </row>
    <row r="112">
      <c r="A112" s="5" t="s">
        <v>451</v>
      </c>
    </row>
    <row r="113">
      <c r="A113" s="5" t="s">
        <v>455</v>
      </c>
    </row>
    <row r="114">
      <c r="A114" s="5" t="s">
        <v>458</v>
      </c>
    </row>
    <row r="115">
      <c r="A115" s="5" t="s">
        <v>464</v>
      </c>
    </row>
    <row r="116">
      <c r="A116" s="5" t="s">
        <v>468</v>
      </c>
    </row>
    <row r="117">
      <c r="A117" s="5" t="s">
        <v>472</v>
      </c>
    </row>
    <row r="118">
      <c r="A118" s="5" t="s">
        <v>475</v>
      </c>
    </row>
    <row r="119">
      <c r="A119" s="5" t="s">
        <v>630</v>
      </c>
    </row>
    <row r="120">
      <c r="A120" s="5" t="s">
        <v>482</v>
      </c>
    </row>
    <row r="121">
      <c r="A121" s="5" t="s">
        <v>486</v>
      </c>
    </row>
    <row r="122">
      <c r="A122" s="5" t="s">
        <v>489</v>
      </c>
    </row>
    <row r="123">
      <c r="A123" s="5" t="s">
        <v>493</v>
      </c>
    </row>
    <row r="124">
      <c r="A124" s="5" t="s">
        <v>634</v>
      </c>
    </row>
    <row r="125">
      <c r="A125" s="5" t="s">
        <v>498</v>
      </c>
    </row>
    <row r="126">
      <c r="A126" s="5" t="s">
        <v>501</v>
      </c>
    </row>
    <row r="127">
      <c r="A127" s="5" t="s">
        <v>502</v>
      </c>
    </row>
    <row r="128">
      <c r="A128" s="5" t="s">
        <v>503</v>
      </c>
    </row>
    <row r="129">
      <c r="A129" s="5" t="s">
        <v>504</v>
      </c>
    </row>
    <row r="130">
      <c r="A130" s="5" t="s">
        <v>505</v>
      </c>
    </row>
    <row r="131">
      <c r="A131" s="5" t="s">
        <v>506</v>
      </c>
    </row>
    <row r="132">
      <c r="A132" s="5" t="s">
        <v>508</v>
      </c>
    </row>
    <row r="133">
      <c r="A133" s="5" t="s">
        <v>510</v>
      </c>
    </row>
    <row r="134">
      <c r="A134" s="5" t="s">
        <v>511</v>
      </c>
    </row>
    <row r="135">
      <c r="A135" s="5" t="s">
        <v>512</v>
      </c>
    </row>
    <row r="136">
      <c r="A136" s="5" t="s">
        <v>513</v>
      </c>
    </row>
    <row r="137">
      <c r="A137" s="5" t="s">
        <v>514</v>
      </c>
    </row>
    <row r="138">
      <c r="A138" s="5" t="s">
        <v>515</v>
      </c>
    </row>
    <row r="139">
      <c r="A139" s="5" t="s">
        <v>516</v>
      </c>
    </row>
    <row r="140">
      <c r="A140" s="5" t="s">
        <v>517</v>
      </c>
    </row>
    <row r="141">
      <c r="A141" s="5" t="s">
        <v>521</v>
      </c>
    </row>
    <row r="142">
      <c r="A142" s="5" t="s">
        <v>525</v>
      </c>
    </row>
    <row r="143">
      <c r="A143" s="5" t="s">
        <v>528</v>
      </c>
    </row>
    <row r="144">
      <c r="A144" s="5" t="s">
        <v>531</v>
      </c>
    </row>
    <row r="145">
      <c r="A145" s="5" t="s">
        <v>534</v>
      </c>
    </row>
    <row r="146">
      <c r="A146" s="5" t="s">
        <v>539</v>
      </c>
    </row>
    <row r="147">
      <c r="A147" s="5" t="s">
        <v>542</v>
      </c>
    </row>
    <row r="148">
      <c r="A148" s="5" t="s">
        <v>636</v>
      </c>
    </row>
    <row r="149">
      <c r="A149" s="5" t="s">
        <v>546</v>
      </c>
    </row>
    <row r="150">
      <c r="A150" s="5" t="s">
        <v>637</v>
      </c>
    </row>
    <row r="151">
      <c r="A151" s="5" t="s">
        <v>552</v>
      </c>
    </row>
    <row r="152">
      <c r="A152" s="5" t="s">
        <v>555</v>
      </c>
    </row>
    <row r="153">
      <c r="A153" s="5" t="s">
        <v>558</v>
      </c>
    </row>
  </sheetData>
  <drawing r:id="rId1"/>
</worksheet>
</file>