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sharedStrings.xml><?xml version="1.0" encoding="utf-8"?>
<sst xmlns="http://schemas.openxmlformats.org/spreadsheetml/2006/main" count="3293" uniqueCount="1089">
  <si>
    <t>Cohort</t>
  </si>
  <si>
    <t>BDCHM Element</t>
  </si>
  <si>
    <t>Total Participants</t>
  </si>
  <si>
    <t>BDC or Data Label</t>
  </si>
  <si>
    <t>Total Cohorts</t>
  </si>
  <si>
    <t>Variable Label</t>
  </si>
  <si>
    <t>Total Variables</t>
  </si>
  <si>
    <t>Data Type</t>
  </si>
  <si>
    <t>Number of Measurement Observation Priority Variables</t>
  </si>
  <si>
    <t>UCUM Unit</t>
  </si>
  <si>
    <t>Number of Condition CURIES</t>
  </si>
  <si>
    <t>CURIE</t>
  </si>
  <si>
    <t>Number of Procedure CURIES</t>
  </si>
  <si>
    <t>Variable Description</t>
  </si>
  <si>
    <t>CURIE label</t>
  </si>
  <si>
    <t>Number of Drug Exposure CURIES</t>
  </si>
  <si>
    <t>MeasurementObservation</t>
  </si>
  <si>
    <t>Number of SDoH Observation Priority Variables</t>
  </si>
  <si>
    <t>8-epi-PGF2a in urine</t>
  </si>
  <si>
    <t>Number of Observations Priority Variables</t>
  </si>
  <si>
    <t>decimal</t>
  </si>
  <si>
    <t>pg/mL</t>
  </si>
  <si>
    <t>Number of Demography Priority Variables</t>
  </si>
  <si>
    <t>OMOP:3011888</t>
  </si>
  <si>
    <t>Concentration of 8-epi-prostaglandin F2 alpha in urine</t>
  </si>
  <si>
    <t>Number of Person Priority Variables</t>
  </si>
  <si>
    <t>Activity LP-PLA2 in blood</t>
  </si>
  <si>
    <t>ARIC</t>
  </si>
  <si>
    <t>nmol/min/mL</t>
  </si>
  <si>
    <t>OMOP:36305170</t>
  </si>
  <si>
    <t>Measurement of the activity of the Lp-PLA2 (lipoprotein-associated phospholipase A2) enzyme in serum or plasma.</t>
  </si>
  <si>
    <t>AHI Apnea-Hypopnea Index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</si>
  <si>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</si>
  <si>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</si>
  <si>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</si>
  <si>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</si>
  <si>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</si>
  <si>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OMOP:4154347</t>
  </si>
  <si>
    <t>Measurement of the ratio of albumin to creatinine in urine. Also known as uACR.</t>
  </si>
  <si>
    <t>CARDIA</t>
  </si>
  <si>
    <t>Albumin in blood</t>
  </si>
  <si>
    <t>g/dL</t>
  </si>
  <si>
    <t>OBA:2050068</t>
  </si>
  <si>
    <t>Measurement of albumin in blood serum</t>
  </si>
  <si>
    <t>Albumin in urine</t>
  </si>
  <si>
    <t>mg/L</t>
  </si>
  <si>
    <t>OBA:VT0002871</t>
  </si>
  <si>
    <t>Concentration of albumin in urine</t>
  </si>
  <si>
    <t>Alcohol Consumption</t>
  </si>
  <si>
    <t>Prostaglandin F2 alpha [Mass/volume] in Urine</t>
  </si>
  <si>
    <t>CHS</t>
  </si>
  <si>
    <t>integer</t>
  </si>
  <si>
    <t>{#}/wk</t>
  </si>
  <si>
    <t>OMOP:35609491</t>
  </si>
  <si>
    <t>Servings of alcohol consumed per week</t>
  </si>
  <si>
    <t>ALT SGPT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</si>
  <si>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</si>
  <si>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</si>
  <si>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</si>
  <si>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Condition</t>
  </si>
  <si>
    <t>COPDGene</t>
  </si>
  <si>
    <t>Angina</t>
  </si>
  <si>
    <t>Uriorcurie</t>
  </si>
  <si>
    <t>Abdominal aortic anuerysm (AAA)</t>
  </si>
  <si>
    <t>HP:0005112</t>
  </si>
  <si>
    <t>Abdominal aortic aneurysm</t>
  </si>
  <si>
    <t>FHS</t>
  </si>
  <si>
    <t>Table S4: Raw variables and sample sizes by priority variable before harmonization</t>
  </si>
  <si>
    <t>DrugExposure</t>
  </si>
  <si>
    <t>Aspirin</t>
  </si>
  <si>
    <t>HCHS/SOL</t>
  </si>
  <si>
    <t>AST SGOT</t>
  </si>
  <si>
    <t>ace inhibitors</t>
  </si>
  <si>
    <t>OMOP:4263457</t>
  </si>
  <si>
    <t>RxCUI:C09A</t>
  </si>
  <si>
    <t>ACE inhibitors</t>
  </si>
  <si>
    <t>Concentration of AST/SGOT in blood. AST (aspartate aminotransferase), also known as SGOT (Serum Glutamic Oxaloacetic Transaminase), is typically measured in serum or plasma.</t>
  </si>
  <si>
    <t>Asthma</t>
  </si>
  <si>
    <t>JHS</t>
  </si>
  <si>
    <t>Atrial fibrillation</t>
  </si>
  <si>
    <t>Basophils Count</t>
  </si>
  <si>
    <t>10*3/uL</t>
  </si>
  <si>
    <t>OBA:VT0002607</t>
  </si>
  <si>
    <t>Concentration of basophil cells in whole blood</t>
  </si>
  <si>
    <t>MESA</t>
  </si>
  <si>
    <t>Bilirubin Conjugated Direct</t>
  </si>
  <si>
    <t>mg/dL</t>
  </si>
  <si>
    <t>OMOP:44805650</t>
  </si>
  <si>
    <t>Concentration of conjugated (or direct) bilirubin in blood, typically measured in serum or plasma</t>
  </si>
  <si>
    <t>Lipoprotein associated phospholipase A2 [Enzymatic activity/volume] in Serum or Plasma</t>
  </si>
  <si>
    <t>Bilirubin Total</t>
  </si>
  <si>
    <t>OMOP:4230543</t>
  </si>
  <si>
    <t>WHI</t>
  </si>
  <si>
    <t>Concentration of total bilirubin in blood, typically measured in serum or plasma</t>
  </si>
  <si>
    <t>BMI</t>
  </si>
  <si>
    <t>kg/m2</t>
  </si>
  <si>
    <t>OBA:2045455</t>
  </si>
  <si>
    <t>Also known as body mass index: ratio of a person's weight in kilos to the square of their height in meters</t>
  </si>
  <si>
    <t>BNP</t>
  </si>
  <si>
    <t>OBA:2045303</t>
  </si>
  <si>
    <t>Concentration of BNP in blood, typically measured in plasma or whole blood. Also known as B-type natriuretic peptide, a hormone.</t>
  </si>
  <si>
    <t>Apnea Hypopnea Index</t>
  </si>
  <si>
    <t>Body weight</t>
  </si>
  <si>
    <t>kg</t>
  </si>
  <si>
    <t>OBA:VT0001259</t>
  </si>
  <si>
    <t>Mass of a person or other organism</t>
  </si>
  <si>
    <t>BUN</t>
  </si>
  <si>
    <t>OBA:VT0005265</t>
  </si>
  <si>
    <t>Concentration of blood urea nitrogen in blood, typically measured in serum or plasma</t>
  </si>
  <si>
    <t>BUN Creatinine ratio</t>
  </si>
  <si>
    <t>{ratio}</t>
  </si>
  <si>
    <t>OMOP:4112223</t>
  </si>
  <si>
    <t>Ratio of blood urea nitrogen (BUN) to creatinine in blood, typically measured in serum or plasma</t>
  </si>
  <si>
    <t>CRP c-reactive protein</t>
  </si>
  <si>
    <t>OMOP:4208414</t>
  </si>
  <si>
    <t>Concentration of c-reactive protein (CRP) in blood, typically measured in serum or plasma</t>
  </si>
  <si>
    <t>Urine albumin/creatinine ratio measurement</t>
  </si>
  <si>
    <t>CAC Score</t>
  </si>
  <si>
    <t>{score}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</si>
  <si>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</si>
  <si>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</si>
  <si>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</si>
  <si>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</si>
  <si>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</si>
  <si>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</si>
  <si>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Priority Variable</t>
  </si>
  <si>
    <t>Carotid IMT</t>
  </si>
  <si>
    <t>Number of relevant raw variables (phv) and data points (excluding missing values)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</si>
  <si>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</si>
  <si>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</si>
  <si>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</si>
  <si>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serum albumin amount</t>
  </si>
  <si>
    <t>Carotid plaque</t>
  </si>
  <si>
    <t>Carotid stenosis left</t>
  </si>
  <si>
    <t>%</t>
  </si>
  <si>
    <t>OMOP:43020498</t>
  </si>
  <si>
    <t>Carotid stenosis right</t>
  </si>
  <si>
    <t>OMOP:43021859</t>
  </si>
  <si>
    <t>Person</t>
  </si>
  <si>
    <t>Cause of death</t>
  </si>
  <si>
    <t>CD40 in blood</t>
  </si>
  <si>
    <t>urine albumin amount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</si>
  <si>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</si>
  <si>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</si>
  <si>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</si>
  <si>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</si>
  <si>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</si>
  <si>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</si>
  <si>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</si>
  <si>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</si>
  <si>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</si>
  <si>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Observation</t>
  </si>
  <si>
    <t>Cigarette smoking</t>
  </si>
  <si>
    <t>Alcohol</t>
  </si>
  <si>
    <t>SmokingStatusObservationTypeEnum</t>
  </si>
  <si>
    <t>OMOP:4282779</t>
  </si>
  <si>
    <t>alcohol units consumed per week</t>
  </si>
  <si>
    <t>Cigarette smoking status - Does not include other forms of tobacco use like pipes or chewing tobacco</t>
  </si>
  <si>
    <t>COPD</t>
  </si>
  <si>
    <t>Creatinine in blood</t>
  </si>
  <si>
    <t>OBA:2050096</t>
  </si>
  <si>
    <t>Concentration of creatinine in blood, typically measured in serum or plasma</t>
  </si>
  <si>
    <t>Creatinine in urine</t>
  </si>
  <si>
    <t>OBA:VT0010540</t>
  </si>
  <si>
    <t>Concentration of creatinine in a sample of urine</t>
  </si>
  <si>
    <t>Cystatin C in blood</t>
  </si>
  <si>
    <t>aldosterone receptor blocker</t>
  </si>
  <si>
    <t>RxCUI: C03DA</t>
  </si>
  <si>
    <t>Aldosterone antagonists</t>
  </si>
  <si>
    <t>OBA:2052375</t>
  </si>
  <si>
    <t>Concentration of cystatin C in blood, typically measured in serum or plasma</t>
  </si>
  <si>
    <t>D-Dimer</t>
  </si>
  <si>
    <t>ug/mL</t>
  </si>
  <si>
    <t>OMOP:37393605</t>
  </si>
  <si>
    <t>Concentration of D-dimer in blood, can be measured in whole blood or plasma</t>
  </si>
  <si>
    <t>Death</t>
  </si>
  <si>
    <t>VitalStatusEnum</t>
  </si>
  <si>
    <t>Diabetes</t>
  </si>
  <si>
    <t>Diastolic blood pressure</t>
  </si>
  <si>
    <t>mm[Hg]</t>
  </si>
  <si>
    <t>alpha 2 agonist</t>
  </si>
  <si>
    <t>OMOP:4154790</t>
  </si>
  <si>
    <t>RxCUI:N0000009918</t>
  </si>
  <si>
    <t>Measurement of pressure in your arteries when your heart is at rest between beats, the bottom number in a blood pressure reading</t>
  </si>
  <si>
    <t>Adrenergic alpha2-Agonists</t>
  </si>
  <si>
    <t>TOTALS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</si>
  <si>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</si>
  <si>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</si>
  <si>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</si>
  <si>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</si>
  <si>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</si>
  <si>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</si>
  <si>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</si>
  <si>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alpha 2 blocker</t>
  </si>
  <si>
    <t>OMOP:4022643</t>
  </si>
  <si>
    <t>RxCUI:N0000175553</t>
  </si>
  <si>
    <t>Highest level of education that an individual has completed</t>
  </si>
  <si>
    <t>alpha-Adrenergic Blocker</t>
  </si>
  <si>
    <t>EGFR</t>
  </si>
  <si>
    <t>phv</t>
  </si>
  <si>
    <t>n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</si>
  <si>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</si>
  <si>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</si>
  <si>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</si>
  <si>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</si>
  <si>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</si>
  <si>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</si>
  <si>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Demography</t>
  </si>
  <si>
    <t>Ethnicity</t>
  </si>
  <si>
    <t>EthnicityEnum</t>
  </si>
  <si>
    <t>alpha blockers</t>
  </si>
  <si>
    <t>OMOP:44803968</t>
  </si>
  <si>
    <t>RxCUI:CV150</t>
  </si>
  <si>
    <t>A person's cultural heritage or ancestry</t>
  </si>
  <si>
    <t>ALPHA BLOCKERS/RELATED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</si>
  <si>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</si>
  <si>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</si>
  <si>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</si>
  <si>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</si>
  <si>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</si>
  <si>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[IU]/mL</t>
  </si>
  <si>
    <t>OBA:2041536</t>
  </si>
  <si>
    <t>Measure of the amount of FVIII activity in a volume of plasma</t>
  </si>
  <si>
    <t>Family history of stroke</t>
  </si>
  <si>
    <t>alpha-1 agonist</t>
  </si>
  <si>
    <t>Family income</t>
  </si>
  <si>
    <t>RxCUI:N0000009917</t>
  </si>
  <si>
    <t>USD</t>
  </si>
  <si>
    <t>Adrenergic alpha1-Agonists</t>
  </si>
  <si>
    <t>The sum of the income of all family members 15 years and older living in the household over 12 months, before taxes</t>
  </si>
  <si>
    <t>Fasting blood glucose</t>
  </si>
  <si>
    <t>OMOP:4156660</t>
  </si>
  <si>
    <t>Concentration of glucose in blood after not eating or drinking (except water) for a set period, typically 8-12 hours</t>
  </si>
  <si>
    <t>Ferritin</t>
  </si>
  <si>
    <t>OBA:VT0010513</t>
  </si>
  <si>
    <t>Concentration of ferritin in blood, typically measured in serum or plasma</t>
  </si>
  <si>
    <t/>
  </si>
  <si>
    <t>FEV1 - Forced Expiratory Volume in 1 sec</t>
  </si>
  <si>
    <t>L</t>
  </si>
  <si>
    <t>OMOP:4241837</t>
  </si>
  <si>
    <t>Volume of air a person can exhale forcefully in one second, measured before the administration of bronchodilator medication</t>
  </si>
  <si>
    <t>FEV1 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</si>
  <si>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</si>
  <si>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</si>
  <si>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serum alanine aminotransferase amount</t>
  </si>
  <si>
    <t>Fibrinogen</t>
  </si>
  <si>
    <t>OBA:0000061</t>
  </si>
  <si>
    <t>Concentration of fibrinogen in blood, typically measured in plasma</t>
  </si>
  <si>
    <t>Fruit consumption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</si>
  <si>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</si>
  <si>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</si>
  <si>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</si>
  <si>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</si>
  <si>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</si>
  <si>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</si>
  <si>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HP:0001681</t>
  </si>
  <si>
    <t>Angina pectoris</t>
  </si>
  <si>
    <t>OBA:0003747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</si>
  <si>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</si>
  <si>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</si>
  <si>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</si>
  <si>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</si>
  <si>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HDL</t>
  </si>
  <si>
    <t>OBA:VT0000184</t>
  </si>
  <si>
    <t>Concentration of high-density lipoprotein (HDL) in blood, typically measured in serum</t>
  </si>
  <si>
    <t>Heart rate</t>
  </si>
  <si>
    <t>{beats}/min</t>
  </si>
  <si>
    <t>OBA:1001087</t>
  </si>
  <si>
    <t>Number of times a heart beats per minute - also known as pulse rate</t>
  </si>
  <si>
    <t>anti-cholesterol drugs</t>
  </si>
  <si>
    <t>Height</t>
  </si>
  <si>
    <t>RxCUI:C10A</t>
  </si>
  <si>
    <t>LIPID MODIFYING AGENTS, PLAIN</t>
  </si>
  <si>
    <t>cm</t>
  </si>
  <si>
    <t>OBA:VT0001253</t>
  </si>
  <si>
    <t>Measure of the vertical distance of a standing person from head to foot</t>
  </si>
  <si>
    <t>Hematocrit</t>
  </si>
  <si>
    <t>OBA:2045381</t>
  </si>
  <si>
    <t>The percentage of whole blood volume that consists of red blood cells - also known as packed cell volume (PCV)</t>
  </si>
  <si>
    <t>Hemoglobin</t>
  </si>
  <si>
    <t>OBA:2060175</t>
  </si>
  <si>
    <t>Concentration of hemoglobin (Hb) in whole blood</t>
  </si>
  <si>
    <t>Hemoglobin A1c</t>
  </si>
  <si>
    <t>anti-gout or uric acid lowering</t>
  </si>
  <si>
    <t>OMOP:4184637</t>
  </si>
  <si>
    <t>RxCUI:M04</t>
  </si>
  <si>
    <t>Percentage of hemoglobin in your red blood cells that has glucose attached to it. Also known as HbA1c</t>
  </si>
  <si>
    <t>ANTIGOUT PREPARATIONS</t>
  </si>
  <si>
    <t>Hip circumference</t>
  </si>
  <si>
    <t>OBA:1000032</t>
  </si>
  <si>
    <t>Table S5: Priority Variables after harmonization - Continuous</t>
  </si>
  <si>
    <t>Distance measurement taken around the fullest part of the hips</t>
  </si>
  <si>
    <t>History of cardiovascular disease</t>
  </si>
  <si>
    <t>nulls/missing</t>
  </si>
  <si>
    <t>Procedure</t>
  </si>
  <si>
    <t>mean</t>
  </si>
  <si>
    <t>History of coronary angioplasty</t>
  </si>
  <si>
    <t>median</t>
  </si>
  <si>
    <t>max</t>
  </si>
  <si>
    <t>History of coronary artery bypass graft</t>
  </si>
  <si>
    <t>min</t>
  </si>
  <si>
    <t>sd</t>
  </si>
  <si>
    <t>History of heart disease</t>
  </si>
  <si>
    <t>enums</t>
  </si>
  <si>
    <t>participants</t>
  </si>
  <si>
    <t>ANTIARRHYTHMICS</t>
  </si>
  <si>
    <t>History of heart failure</t>
  </si>
  <si>
    <t>C01B</t>
  </si>
  <si>
    <t>ANTIARRHYTHMICS, CLASS I AND III</t>
  </si>
  <si>
    <t>History of myocardial infarction</t>
  </si>
  <si>
    <t>Hypertension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</si>
  <si>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</si>
  <si>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</si>
  <si>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</si>
  <si>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</si>
  <si>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</si>
  <si>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anticoagulant</t>
  </si>
  <si>
    <t>RxCUI:N0000175980</t>
  </si>
  <si>
    <t>pmol/L</t>
  </si>
  <si>
    <t>Anti-coagulant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</si>
  <si>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</si>
  <si>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</si>
  <si>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</si>
  <si>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</si>
  <si>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</si>
  <si>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Bilirubin total</t>
  </si>
  <si>
    <t>Interleukin 10 in blood</t>
  </si>
  <si>
    <t>OMOP:3004578</t>
  </si>
  <si>
    <t>Concentration of Interleukin-1 beta (IL-10) in blood, typically measured in serum or plasma</t>
  </si>
  <si>
    <t>Interleukin 6 in blood</t>
  </si>
  <si>
    <t>antihistamines</t>
  </si>
  <si>
    <t>OBA:2052890</t>
  </si>
  <si>
    <t>RxCUI:AH000</t>
  </si>
  <si>
    <t>ANTIHISTAMINES</t>
  </si>
  <si>
    <t>Concentration of Interleukin-1 beta (IL-6) in blood, typically measured in serum or plasma</t>
  </si>
  <si>
    <t>Lactate Dehydrogenase LDH</t>
  </si>
  <si>
    <t>OBA:VT0010477</t>
  </si>
  <si>
    <t>ANTIULCER (TAGAMET, RANITIDINE, PROBANTHINE, H-ION INHIBITORS)</t>
  </si>
  <si>
    <t>RxCUI:GA300</t>
  </si>
  <si>
    <t>ANTIULCER AGENTS</t>
  </si>
  <si>
    <t>Concentration of lactate dehydrogenase (LDH) in blood, typically in serum or plasma</t>
  </si>
  <si>
    <t>Lactate in blood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</si>
  <si>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</si>
  <si>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</si>
  <si>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</si>
  <si>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</si>
  <si>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</si>
  <si>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</si>
  <si>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Arterial embolism and/or thrombosis</t>
  </si>
  <si>
    <t>Lymphocytes count</t>
  </si>
  <si>
    <t>HP:0004420</t>
  </si>
  <si>
    <t>Arterial thrombosis</t>
  </si>
  <si>
    <t>OBA:VT0000217</t>
  </si>
  <si>
    <t>Concentration of lymphocytes in whole blood</t>
  </si>
  <si>
    <t>Lymphocytes percent</t>
  </si>
  <si>
    <t>Fasting lipids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</si>
  <si>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</si>
  <si>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</si>
  <si>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</si>
  <si>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</si>
  <si>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</si>
  <si>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</si>
  <si>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OBA:2052436</t>
  </si>
  <si>
    <t>Concentration of Monocyte Chemoattractant Protein-1 (MCP-1), also known as CCL2, in blood, typically in serum or plasma</t>
  </si>
  <si>
    <t>RxCUI:1191</t>
  </si>
  <si>
    <t>Mean arterial pressure</t>
  </si>
  <si>
    <t>aspirin</t>
  </si>
  <si>
    <t>OBA:VT2000000</t>
  </si>
  <si>
    <t>Average pressure in your arteries throughout one complete cardiac cycle, also known as MAP</t>
  </si>
  <si>
    <t>Mean corpuscular hemoglobin</t>
  </si>
  <si>
    <t>pg/{cell}</t>
  </si>
  <si>
    <t>OBA:2045301</t>
  </si>
  <si>
    <t>Average amount of hemoglobin in each red blood cell, also known as MCH</t>
  </si>
  <si>
    <t>Mean corpuscular hemoglobin concentration</t>
  </si>
  <si>
    <t>OMOP:37393850</t>
  </si>
  <si>
    <t>Average concentration of hemoglobin within a single red blood cell, also known as MCHC</t>
  </si>
  <si>
    <t>Mean corpuscular volume</t>
  </si>
  <si>
    <t>fL</t>
  </si>
  <si>
    <t>OBA:0003460</t>
  </si>
  <si>
    <t>Average size/volume of a red blood cell, also known as MCV</t>
  </si>
  <si>
    <t>Mean platelet volume</t>
  </si>
  <si>
    <t>OBA:0003277</t>
  </si>
  <si>
    <t>Aspartate aminotransferase measurement</t>
  </si>
  <si>
    <t>Average size/volume of a platelet, also known as MPV</t>
  </si>
  <si>
    <t>MMP9 in blood</t>
  </si>
  <si>
    <t>OBA:2052397</t>
  </si>
  <si>
    <t>interleukin 6 in blood</t>
  </si>
  <si>
    <t>Concentration of Matrix Metalloproteinase-9 (MMP-9) in blood, typically measured in serum or plasma</t>
  </si>
  <si>
    <t>Monocytes count</t>
  </si>
  <si>
    <t>OBA:VT0000223</t>
  </si>
  <si>
    <t>Concentration of monocyte cells in whole blood</t>
  </si>
  <si>
    <t>Myeloperoxidase in blood</t>
  </si>
  <si>
    <t>MONDO:0004979</t>
  </si>
  <si>
    <t>asthma</t>
  </si>
  <si>
    <t>OBA:2052389</t>
  </si>
  <si>
    <t>Concentration of Myeloperoxidase (MPO) in blood, typically measured in plasma or serum</t>
  </si>
  <si>
    <t>Neutrophils count</t>
  </si>
  <si>
    <t>OBA:VT0000222</t>
  </si>
  <si>
    <t>Concentration of neutrophil cells in whole blood</t>
  </si>
  <si>
    <t>Neutrophils percent</t>
  </si>
  <si>
    <t>%{WBCs}</t>
  </si>
  <si>
    <t>OMOP:37208698</t>
  </si>
  <si>
    <t>Percent of total leukocytes that are neutrophils</t>
  </si>
  <si>
    <t>NT pro BNP</t>
  </si>
  <si>
    <t>OBA:2045349</t>
  </si>
  <si>
    <t>Concentration of NT-proBNP in blood, typically measured in serum or plasma. Also known as N-terminal prohormone of brain natriuretic peptide</t>
  </si>
  <si>
    <t>Obesity</t>
  </si>
  <si>
    <t>ConditionStatusEnum</t>
  </si>
  <si>
    <t>Osteoprotegerin in blood</t>
  </si>
  <si>
    <t>Atherosclerosis of arteries of the lower extremities - hard cardiovascular disease</t>
  </si>
  <si>
    <t>OMOP:1552124</t>
  </si>
  <si>
    <t>HP:0002621</t>
  </si>
  <si>
    <t>Concentration of Osteoprotegerin (OPG) in blood, typically measured in serum or plasma</t>
  </si>
  <si>
    <t>Atherosclerosis</t>
  </si>
  <si>
    <t>P-selectin in blood</t>
  </si>
  <si>
    <t>OBA:2052701</t>
  </si>
  <si>
    <t>Concentration of P-selectin in blood, typically measured in plasma</t>
  </si>
  <si>
    <t>Pacemaker implant status</t>
  </si>
  <si>
    <t>BaseEnum</t>
  </si>
  <si>
    <t>Peripheral arterial disease</t>
  </si>
  <si>
    <t>Platelet count</t>
  </si>
  <si>
    <t>OMOP:4267147</t>
  </si>
  <si>
    <t>Concentration of platelets in whole blood</t>
  </si>
  <si>
    <t>Potassium in blood</t>
  </si>
  <si>
    <t>OBA:VT0002668</t>
  </si>
  <si>
    <t>Concentration of potassium in blood, typically measured in whole blood or serum</t>
  </si>
  <si>
    <t>PR interval</t>
  </si>
  <si>
    <t>ms</t>
  </si>
  <si>
    <t>MONDO:0004981</t>
  </si>
  <si>
    <t>OMOP:4274406</t>
  </si>
  <si>
    <t>Time it takes for electrical impulses to travel from the atria to the ventricles of the heart. Measured using ECG/EKG</t>
  </si>
  <si>
    <t>atrial fibrillation</t>
  </si>
  <si>
    <t>QRS interval</t>
  </si>
  <si>
    <t>OBA:1001086</t>
  </si>
  <si>
    <t>QT interval</t>
  </si>
  <si>
    <t>Time that elapses from the beginning of the Q wave to the end of the S wave. Measured using ECG/EKG</t>
  </si>
  <si>
    <t>Red blood cell count</t>
  </si>
  <si>
    <t>OMOP:4273023</t>
  </si>
  <si>
    <t>Red cell distribution width</t>
  </si>
  <si>
    <t>Time it takes for the ventricles of the heart to depolarize and repolarize. Measured using ECG/EKG</t>
  </si>
  <si>
    <t>Race</t>
  </si>
  <si>
    <t>Sleep hours</t>
  </si>
  <si>
    <t>RaceEnum</t>
  </si>
  <si>
    <t>OMOP:4013886</t>
  </si>
  <si>
    <t>Self-reported category reflecting an individual's identity and social understanding of race in the United States</t>
  </si>
  <si>
    <t>Sodium in blood</t>
  </si>
  <si>
    <t>Sodium intake</t>
  </si>
  <si>
    <t>10*6/uL</t>
  </si>
  <si>
    <t>OBA:VT0001586</t>
  </si>
  <si>
    <t>Concentration of red blood cells in whole blood</t>
  </si>
  <si>
    <t>OMOP:37397924</t>
  </si>
  <si>
    <t>atrial flutter</t>
  </si>
  <si>
    <t>Measure of the variation in the size and volume of red blood cells, also known as RDW. SD or CV?</t>
  </si>
  <si>
    <t>SpO2</t>
  </si>
  <si>
    <t>MONDO:0005310</t>
  </si>
  <si>
    <t>Sex</t>
  </si>
  <si>
    <t>Systolic blood pressure</t>
  </si>
  <si>
    <t>SexEnum</t>
  </si>
  <si>
    <t>OMOP:3046965</t>
  </si>
  <si>
    <t>Temperature</t>
  </si>
  <si>
    <t>Self-reported category reflecting an individual's biological sex and/or gender identity</t>
  </si>
  <si>
    <t>TNFa in blood</t>
  </si>
  <si>
    <t>Sleep apnea status</t>
  </si>
  <si>
    <t>TNFa-R1 in blood</t>
  </si>
  <si>
    <t>Total cholesterol in blood</t>
  </si>
  <si>
    <t>h</t>
  </si>
  <si>
    <t>Triglycerides in blood</t>
  </si>
  <si>
    <t>OBA:2040171</t>
  </si>
  <si>
    <t>Cumulative amount of time spent sleeping each night</t>
  </si>
  <si>
    <t>Troponin all types</t>
  </si>
  <si>
    <t>Vegetable consumption</t>
  </si>
  <si>
    <t>OBA:VT0001776</t>
  </si>
  <si>
    <t>Von Willebrand factor</t>
  </si>
  <si>
    <t>AV node ablation</t>
  </si>
  <si>
    <t>Concentration of sodium in blood, typically measured in serum or plasma</t>
  </si>
  <si>
    <t>OMOP:4323629</t>
  </si>
  <si>
    <t>Waist circumference</t>
  </si>
  <si>
    <t>Ablation of atrioventricular node</t>
  </si>
  <si>
    <t>Waist-hip ratio</t>
  </si>
  <si>
    <t>mg/d</t>
  </si>
  <si>
    <t>White blood cell count</t>
  </si>
  <si>
    <t>OMOP:606729</t>
  </si>
  <si>
    <t>Mass of sodium consumed by an individual per day</t>
  </si>
  <si>
    <t>OBA:2045443</t>
  </si>
  <si>
    <t>Percentage of oxygen-carrying hemoglobin in the blood compared to the total amount of hemoglobin. Also known as oxygen saturation.</t>
  </si>
  <si>
    <t>Stroke status</t>
  </si>
  <si>
    <t>OMOP:4152194</t>
  </si>
  <si>
    <t>Measurement of pressure in your arteries when your heart pumps blood, the top number in a blood pressure reading</t>
  </si>
  <si>
    <t>basophils count</t>
  </si>
  <si>
    <t>Taking ACE inhibitors</t>
  </si>
  <si>
    <t>basophil quantity</t>
  </si>
  <si>
    <t>Taking aldosterone receptor blockers</t>
  </si>
  <si>
    <t>Taking alpha blockers</t>
  </si>
  <si>
    <t>Taking angiotensin receptor blockers</t>
  </si>
  <si>
    <t>Taking beta blockers</t>
  </si>
  <si>
    <t>Taking calcium channel blockers</t>
  </si>
  <si>
    <t>Taking centrally acting agents</t>
  </si>
  <si>
    <t>beta blockers</t>
  </si>
  <si>
    <t>RxCUI:C07A</t>
  </si>
  <si>
    <t>beta blocking agents</t>
  </si>
  <si>
    <t>Taking diuretics</t>
  </si>
  <si>
    <t>Taking insulin</t>
  </si>
  <si>
    <t>Taking medication for diabetes</t>
  </si>
  <si>
    <t>Taking non statin medication</t>
  </si>
  <si>
    <t>beta blockers and diuretics</t>
  </si>
  <si>
    <t>RxCUI:C07D</t>
  </si>
  <si>
    <t>Taking oral hypoglycemic agents</t>
  </si>
  <si>
    <t xml:space="preserve">BETA BLOCKING AGENTS, THIAZIDES AND OTHER DIURETICS </t>
  </si>
  <si>
    <t>Taking statin medication</t>
  </si>
  <si>
    <t>Taking systemic steroids</t>
  </si>
  <si>
    <t>Taking vasodilators</t>
  </si>
  <si>
    <t>Cel</t>
  </si>
  <si>
    <t>OBA:VT0005535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</si>
  <si>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</si>
  <si>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</si>
  <si>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</si>
  <si>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Conjugated bilirubin measurement</t>
  </si>
  <si>
    <t>OBA:2051975</t>
  </si>
  <si>
    <t>Concentration of TNF receptor 1  in blood, typically measured in serum or plasma. Also known as TNFR1, TNFRSF1A, CD120a, and tumor necrosis factor receptor 1</t>
  </si>
  <si>
    <t>OBA:VT0000180</t>
  </si>
  <si>
    <t>Concentration of all cholesterol in your blood, including both HDL and LDL</t>
  </si>
  <si>
    <t>OBA:VT0002644</t>
  </si>
  <si>
    <t>Concentration of triglycerides in blood, typically measured in serum or plasma</t>
  </si>
  <si>
    <t>OMOP:4021291</t>
  </si>
  <si>
    <t>Concentration of all types of troponin in blood</t>
  </si>
  <si>
    <t>Valvular heart disease</t>
  </si>
  <si>
    <t>Bilirubin, total measurement</t>
  </si>
  <si>
    <t>OMOP:4042886</t>
  </si>
  <si>
    <t>Servings of vegetables consumed per week</t>
  </si>
  <si>
    <t>Venous thromboembolism</t>
  </si>
  <si>
    <t>OBA:2052741</t>
  </si>
  <si>
    <t>Concentration of von willebrand factor in blood</t>
  </si>
  <si>
    <t>OBA:1001085</t>
  </si>
  <si>
    <t>Distance measurement taken around the waist, just above the hip bone</t>
  </si>
  <si>
    <t>Bilirubin Unconjugated Indirect</t>
  </si>
  <si>
    <t>OMOP:4087501</t>
  </si>
  <si>
    <t>OBA:VT0001569</t>
  </si>
  <si>
    <t>Ratio of the circumference of the waist to the circumference of the hips</t>
  </si>
  <si>
    <t>blood bilirubin amount</t>
  </si>
  <si>
    <t>Concentration of white blood cells in whole blood</t>
  </si>
  <si>
    <t>body mass to height ratio</t>
  </si>
  <si>
    <t>natriuretic peptides B level</t>
  </si>
  <si>
    <t>body mass</t>
  </si>
  <si>
    <t>blood urea nitrogen amount</t>
  </si>
  <si>
    <t>BUN/Creatinine ratio</t>
  </si>
  <si>
    <t>Table S5: Priority Variables after harmonization - Categorical</t>
  </si>
  <si>
    <t>Current</t>
  </si>
  <si>
    <t>c-reactive protein CRP</t>
  </si>
  <si>
    <t>Former</t>
  </si>
  <si>
    <t>C-reactive protein measurement</t>
  </si>
  <si>
    <t>Never</t>
  </si>
  <si>
    <t>Unknown</t>
  </si>
  <si>
    <t>Alive</t>
  </si>
  <si>
    <t>Dead</t>
  </si>
  <si>
    <t>Hispanic or Latino</t>
  </si>
  <si>
    <t>Not Hispanic or Latino</t>
  </si>
  <si>
    <t>American Indian or Alaska Native</t>
  </si>
  <si>
    <t>Coronary artery calcium score</t>
  </si>
  <si>
    <t>Asian</t>
  </si>
  <si>
    <t>Black or African American</t>
  </si>
  <si>
    <t>Native Hawaiian or Other Pacific Islander</t>
  </si>
  <si>
    <t>White</t>
  </si>
  <si>
    <t>More than One Race</t>
  </si>
  <si>
    <t>Male</t>
  </si>
  <si>
    <t>Female</t>
  </si>
  <si>
    <t>calcium volume</t>
  </si>
  <si>
    <t>cardiac glycosides</t>
  </si>
  <si>
    <t>RxCUI:C01A</t>
  </si>
  <si>
    <t>MONDO:0004995</t>
  </si>
  <si>
    <t>cardiovascular disorder</t>
  </si>
  <si>
    <t>Carotid endarterectomy/angioplasty</t>
  </si>
  <si>
    <t>OMOP:1242799</t>
  </si>
  <si>
    <t>Operation on carotid artery</t>
  </si>
  <si>
    <t>Carotid intima media thickness</t>
  </si>
  <si>
    <t>OMOP:4102124</t>
  </si>
  <si>
    <t>Carotid atherosclerosis</t>
  </si>
  <si>
    <t>Fruits</t>
  </si>
  <si>
    <t>Carotid artery stenosis left</t>
  </si>
  <si>
    <t>Interleukin 18 in blood</t>
  </si>
  <si>
    <t>Carotid artery stenosis right</t>
  </si>
  <si>
    <t>mean corpuscular hemoglobin</t>
  </si>
  <si>
    <t>mean corpuscular hemoglobin concentration</t>
  </si>
  <si>
    <t>mean corpuscular volume</t>
  </si>
  <si>
    <t>mean platelet volume</t>
  </si>
  <si>
    <t>Medication adherence</t>
  </si>
  <si>
    <t>monocytes count</t>
  </si>
  <si>
    <t>OMOP:4083743</t>
  </si>
  <si>
    <t>peripheral arterial disease</t>
  </si>
  <si>
    <t>amount of CD40 ligand (human) in blood</t>
  </si>
  <si>
    <t>Sleep apnea</t>
  </si>
  <si>
    <t>Stroke</t>
  </si>
  <si>
    <t>Cerebral embolism</t>
  </si>
  <si>
    <t>MONDO:0006809</t>
  </si>
  <si>
    <t>intracranial embolism</t>
  </si>
  <si>
    <t>Vegetables</t>
  </si>
  <si>
    <t>Center for Epidemiologic Studies Depression Scale-Revised total score [CESD-R]</t>
  </si>
  <si>
    <t>von Willebrand factor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</si>
  <si>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</si>
  <si>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</si>
  <si>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</si>
  <si>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</si>
  <si>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</si>
  <si>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</si>
  <si>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</si>
  <si>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</si>
  <si>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</si>
  <si>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</si>
  <si>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</si>
  <si>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</si>
  <si>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</si>
  <si>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</si>
  <si>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</si>
  <si>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</si>
  <si>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</si>
  <si>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</si>
  <si>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</si>
  <si>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</si>
  <si>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</si>
  <si>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</si>
  <si>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</si>
  <si>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</si>
  <si>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</si>
  <si>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</si>
  <si>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</si>
  <si>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</si>
  <si>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</si>
  <si>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</si>
  <si>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</si>
  <si>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</si>
  <si>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</si>
  <si>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</si>
  <si>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</si>
  <si>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</si>
  <si>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</si>
  <si>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</si>
  <si>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</si>
  <si>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OMOP:4150326</t>
  </si>
  <si>
    <t>blood ferritin amount</t>
  </si>
  <si>
    <t>COPD status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</si>
  <si>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</si>
  <si>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</si>
  <si>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</si>
  <si>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</si>
  <si>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</si>
  <si>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</si>
  <si>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</si>
  <si>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</si>
  <si>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</si>
  <si>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</si>
  <si>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</si>
  <si>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</si>
  <si>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</si>
  <si>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</si>
  <si>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</si>
  <si>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</si>
  <si>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</si>
  <si>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</si>
  <si>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</si>
  <si>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</si>
  <si>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</si>
  <si>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</si>
  <si>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</si>
  <si>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</si>
  <si>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</si>
  <si>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</si>
  <si>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</si>
  <si>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</si>
  <si>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</si>
  <si>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</si>
  <si>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</si>
  <si>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</si>
  <si>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</si>
  <si>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</si>
  <si>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</si>
  <si>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</si>
  <si>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</si>
  <si>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</si>
  <si>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</si>
  <si>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</si>
  <si>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</si>
  <si>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</si>
  <si>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</si>
  <si>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</si>
  <si>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</si>
  <si>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</si>
  <si>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</si>
  <si>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</si>
  <si>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</si>
  <si>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</si>
  <si>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</si>
  <si>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</si>
  <si>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</si>
  <si>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</si>
  <si>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</si>
  <si>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</si>
  <si>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</si>
  <si>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</si>
  <si>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</si>
  <si>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</si>
  <si>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</si>
  <si>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</si>
  <si>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</si>
  <si>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</si>
  <si>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</si>
  <si>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</si>
  <si>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</si>
  <si>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</si>
  <si>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</si>
  <si>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</si>
  <si>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</si>
  <si>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</si>
  <si>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</si>
  <si>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</si>
  <si>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</si>
  <si>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</si>
  <si>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</si>
  <si>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</si>
  <si>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</si>
  <si>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</si>
  <si>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</si>
  <si>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</si>
  <si>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</si>
  <si>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</si>
  <si>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</si>
  <si>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</si>
  <si>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</si>
  <si>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</si>
  <si>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</si>
  <si>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</si>
  <si>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</si>
  <si>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</si>
  <si>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</si>
  <si>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</si>
  <si>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</si>
  <si>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</si>
  <si>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</si>
  <si>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</si>
  <si>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</si>
  <si>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</si>
  <si>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</si>
  <si>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</si>
  <si>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</si>
  <si>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</si>
  <si>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</si>
  <si>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</si>
  <si>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</si>
  <si>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</si>
  <si>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</si>
  <si>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</si>
  <si>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</si>
  <si>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</si>
  <si>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</si>
  <si>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</si>
  <si>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</si>
  <si>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</si>
  <si>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</si>
  <si>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</si>
  <si>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</si>
  <si>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</si>
  <si>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</si>
  <si>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</si>
  <si>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</si>
  <si>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</si>
  <si>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</si>
  <si>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</si>
  <si>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</si>
  <si>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</si>
  <si>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</si>
  <si>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</si>
  <si>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</si>
  <si>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</si>
  <si>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</si>
  <si>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</si>
  <si>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</si>
  <si>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</si>
  <si>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</si>
  <si>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</si>
  <si>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</si>
  <si>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</si>
  <si>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</si>
  <si>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</si>
  <si>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</si>
  <si>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</si>
  <si>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</si>
  <si>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</si>
  <si>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</si>
  <si>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</si>
  <si>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</si>
  <si>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</si>
  <si>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</si>
  <si>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</si>
  <si>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</si>
  <si>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</si>
  <si>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</si>
  <si>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</si>
  <si>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</si>
  <si>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</si>
  <si>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</si>
  <si>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</si>
  <si>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</si>
  <si>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</si>
  <si>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</si>
  <si>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</si>
  <si>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</si>
  <si>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</si>
  <si>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</si>
  <si>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</si>
  <si>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</si>
  <si>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</si>
  <si>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</si>
  <si>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</si>
  <si>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</si>
  <si>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</si>
  <si>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</si>
  <si>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</si>
  <si>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</si>
  <si>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</si>
  <si>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</si>
  <si>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</si>
  <si>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</si>
  <si>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</si>
  <si>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</si>
  <si>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</si>
  <si>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</si>
  <si>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</si>
  <si>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</si>
  <si>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</si>
  <si>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</si>
  <si>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</si>
  <si>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</si>
  <si>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</si>
  <si>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</si>
  <si>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</si>
  <si>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</si>
  <si>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</si>
  <si>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</si>
  <si>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</si>
  <si>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</si>
  <si>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</si>
  <si>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</si>
  <si>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</si>
  <si>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</si>
  <si>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</si>
  <si>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</si>
  <si>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</si>
  <si>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</si>
  <si>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</si>
  <si>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</si>
  <si>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</si>
  <si>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</si>
  <si>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</si>
  <si>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</si>
  <si>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</si>
  <si>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</si>
  <si>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</si>
  <si>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</si>
  <si>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</si>
  <si>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</si>
  <si>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</si>
  <si>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</si>
  <si>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</si>
  <si>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</si>
  <si>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</si>
  <si>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</si>
  <si>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</si>
  <si>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</si>
  <si>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</si>
  <si>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</si>
  <si>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</si>
  <si>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</si>
  <si>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</si>
  <si>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</si>
  <si>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</si>
  <si>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</si>
  <si>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</si>
  <si>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</si>
  <si>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</si>
  <si>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</si>
  <si>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</si>
  <si>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</si>
  <si>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</si>
  <si>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</si>
  <si>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</si>
  <si>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</si>
  <si>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</si>
  <si>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</si>
  <si>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</si>
  <si>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</si>
  <si>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</si>
  <si>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</si>
  <si>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</si>
  <si>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</si>
  <si>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</si>
  <si>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</si>
  <si>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</si>
  <si>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</si>
  <si>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</si>
  <si>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</si>
  <si>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</si>
  <si>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</si>
  <si>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</si>
  <si>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</si>
  <si>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</si>
  <si>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</si>
  <si>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</si>
  <si>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</si>
  <si>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</si>
  <si>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</si>
  <si>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</si>
  <si>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</si>
  <si>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</si>
  <si>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</si>
  <si>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</si>
  <si>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</si>
  <si>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</si>
  <si>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</si>
  <si>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</si>
  <si>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</si>
  <si>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</si>
  <si>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</si>
  <si>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</si>
  <si>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</si>
  <si>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</si>
  <si>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</si>
  <si>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</si>
  <si>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</si>
  <si>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</si>
  <si>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</si>
  <si>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</si>
  <si>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</si>
  <si>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</si>
  <si>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</si>
  <si>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</si>
  <si>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</si>
  <si>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</si>
  <si>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</si>
  <si>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</si>
  <si>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</si>
  <si>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</si>
  <si>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</si>
  <si>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</si>
  <si>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</si>
  <si>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</si>
  <si>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</si>
  <si>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</si>
  <si>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</si>
  <si>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</si>
  <si>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</si>
  <si>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</si>
  <si>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</si>
  <si>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</si>
  <si>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</si>
  <si>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</si>
  <si>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</si>
  <si>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</si>
  <si>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</si>
  <si>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</si>
  <si>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</si>
  <si>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</si>
  <si>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</si>
  <si>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</si>
  <si>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</si>
  <si>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</si>
  <si>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</si>
  <si>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</si>
  <si>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</si>
  <si>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</si>
  <si>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</si>
  <si>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</si>
  <si>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</si>
  <si>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</si>
  <si>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</si>
  <si>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</si>
  <si>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</si>
  <si>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</si>
  <si>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</si>
  <si>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</si>
  <si>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</si>
  <si>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</si>
  <si>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</si>
  <si>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</si>
  <si>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</si>
  <si>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</si>
  <si>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</si>
  <si>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</si>
  <si>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</si>
  <si>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</si>
  <si>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</si>
  <si>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</si>
  <si>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</si>
  <si>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</si>
  <si>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</si>
  <si>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</si>
  <si>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</si>
  <si>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</si>
  <si>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</si>
  <si>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</si>
  <si>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</si>
  <si>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</si>
  <si>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</si>
  <si>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</si>
  <si>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</si>
  <si>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</si>
  <si>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</si>
  <si>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</si>
  <si>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</si>
  <si>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</si>
  <si>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</si>
  <si>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</si>
  <si>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</si>
  <si>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</si>
  <si>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</si>
  <si>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</si>
  <si>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</si>
  <si>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</si>
  <si>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</si>
  <si>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</si>
  <si>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</si>
  <si>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</si>
  <si>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</si>
  <si>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</si>
  <si>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</si>
  <si>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</si>
  <si>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</si>
  <si>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</si>
  <si>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</si>
  <si>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</si>
  <si>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</si>
  <si>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</si>
  <si>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</si>
  <si>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</si>
  <si>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</si>
  <si>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</si>
  <si>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</si>
  <si>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</si>
  <si>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</si>
  <si>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</si>
  <si>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</si>
  <si>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</si>
  <si>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</si>
  <si>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</si>
  <si>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</si>
  <si>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</si>
  <si>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</si>
  <si>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</si>
  <si>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</si>
  <si>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</si>
  <si>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</si>
  <si>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</si>
  <si>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</si>
  <si>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</si>
  <si>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</si>
  <si>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</si>
  <si>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</si>
  <si>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</si>
  <si>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</si>
  <si>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</si>
  <si>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</si>
  <si>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</si>
  <si>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</si>
  <si>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</si>
  <si>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</si>
  <si>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</si>
  <si>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</si>
  <si>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</si>
  <si>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</si>
  <si>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</si>
  <si>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</si>
  <si>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</si>
  <si>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</si>
  <si>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</si>
  <si>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</si>
  <si>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</si>
  <si>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</si>
  <si>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</si>
  <si>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</si>
  <si>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</si>
  <si>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</si>
  <si>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</si>
  <si>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</si>
  <si>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</si>
  <si>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</si>
  <si>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</si>
  <si>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</si>
  <si>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</si>
  <si>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</si>
  <si>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</si>
  <si>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</si>
  <si>
    <t>TOTAL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</si>
</sst>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color rgb="FF000000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4" numFmtId="164" xfId="0" applyAlignment="1" applyFont="1" applyNumberFormat="1">
      <alignment horizontal="left" readingOrder="0" vertical="center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4" numFmtId="3" xfId="0" applyFont="1" applyNumberFormat="1"/>
    <xf borderId="0" fillId="0" fontId="4" numFmtId="164" xfId="0" applyFont="1" applyNumberFormat="1"/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/>
    </xf>
    <xf borderId="0" fillId="0" fontId="4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</row>
    <row r="2">
      <c r="A2" s="5" t="s">
        <v>16</v>
      </c>
      <c r="B2" s="5" t="s">
        <v>18</v>
      </c>
      <c r="C2" s="5" t="s">
        <v>20</v>
      </c>
      <c r="D2" s="5" t="s">
        <v>21</v>
      </c>
      <c r="E2" s="5" t="s">
        <v>23</v>
      </c>
      <c r="F2" s="5" t="s">
        <v>24</v>
      </c>
    </row>
    <row r="3">
      <c r="A3" s="5" t="s">
        <v>16</v>
      </c>
      <c r="B3" s="5" t="s">
        <v>26</v>
      </c>
      <c r="C3" s="5" t="s">
        <v>20</v>
      </c>
      <c r="D3" s="5" t="s">
        <v>28</v>
      </c>
      <c r="E3" s="5" t="s">
        <v>29</v>
      </c>
      <c r="F3" s="5" t="s">
        <v>30</v>
      </c>
    </row>
    <row r="4">
      <c r="A4" s="5" t="s">
        <v>16</v>
      </c>
      <c r="B4" s="5" t="s">
        <v>31</v>
      </c>
      <c r="C4" s="5" t="s">
        <v>20</v>
      </c>
      <c r="D4" s="5" t="s">
        <v>32</v>
      </c>
      <c r="E4" s="5" t="s">
        <v>33</v>
      </c>
      <c r="F4" s="5" t="s">
        <v>34</v>
      </c>
    </row>
    <row r="5">
      <c r="A5" s="5" t="s">
        <v>16</v>
      </c>
      <c r="B5" s="5" t="s">
        <v>35</v>
      </c>
      <c r="C5" s="5" t="s">
        <v>20</v>
      </c>
      <c r="D5" s="5" t="s">
        <v>36</v>
      </c>
      <c r="E5" s="5" t="s">
        <v>37</v>
      </c>
      <c r="F5" s="5" t="s">
        <v>38</v>
      </c>
    </row>
    <row r="6">
      <c r="A6" s="5" t="s">
        <v>16</v>
      </c>
      <c r="B6" s="5" t="s">
        <v>40</v>
      </c>
      <c r="C6" s="5" t="s">
        <v>20</v>
      </c>
      <c r="D6" s="5" t="s">
        <v>41</v>
      </c>
      <c r="E6" s="5" t="s">
        <v>42</v>
      </c>
      <c r="F6" s="5" t="s">
        <v>43</v>
      </c>
    </row>
    <row r="7">
      <c r="A7" s="5" t="s">
        <v>16</v>
      </c>
      <c r="B7" s="5" t="s">
        <v>44</v>
      </c>
      <c r="C7" s="5" t="s">
        <v>20</v>
      </c>
      <c r="D7" s="5" t="s">
        <v>45</v>
      </c>
      <c r="E7" s="5" t="s">
        <v>46</v>
      </c>
      <c r="F7" s="5" t="s">
        <v>47</v>
      </c>
    </row>
    <row r="8">
      <c r="A8" s="5" t="s">
        <v>16</v>
      </c>
      <c r="B8" s="5" t="s">
        <v>48</v>
      </c>
      <c r="C8" s="5" t="s">
        <v>51</v>
      </c>
      <c r="D8" s="5" t="s">
        <v>52</v>
      </c>
      <c r="E8" s="5" t="s">
        <v>53</v>
      </c>
      <c r="F8" s="5" t="s">
        <v>54</v>
      </c>
    </row>
    <row r="9">
      <c r="A9" s="5" t="s">
        <v>16</v>
      </c>
      <c r="B9" s="5" t="s">
        <v>55</v>
      </c>
      <c r="C9" s="5" t="s">
        <v>20</v>
      </c>
      <c r="D9" s="5" t="s">
        <v>56</v>
      </c>
      <c r="E9" s="5" t="s">
        <v>57</v>
      </c>
      <c r="F9" s="5" t="s">
        <v>58</v>
      </c>
    </row>
    <row r="10">
      <c r="A10" s="5" t="s">
        <v>59</v>
      </c>
      <c r="B10" s="5" t="s">
        <v>61</v>
      </c>
      <c r="C10" s="5" t="s">
        <v>62</v>
      </c>
    </row>
    <row r="11">
      <c r="A11" s="5" t="s">
        <v>68</v>
      </c>
      <c r="B11" s="5" t="s">
        <v>69</v>
      </c>
      <c r="C11" s="5" t="s">
        <v>62</v>
      </c>
    </row>
    <row r="12">
      <c r="A12" s="5" t="s">
        <v>16</v>
      </c>
      <c r="B12" s="5" t="s">
        <v>71</v>
      </c>
      <c r="C12" s="5" t="s">
        <v>20</v>
      </c>
      <c r="D12" s="5" t="s">
        <v>56</v>
      </c>
      <c r="E12" s="5" t="s">
        <v>73</v>
      </c>
      <c r="F12" s="5" t="s">
        <v>76</v>
      </c>
    </row>
    <row r="13">
      <c r="A13" s="5" t="s">
        <v>59</v>
      </c>
      <c r="B13" s="5" t="s">
        <v>77</v>
      </c>
      <c r="C13" s="5" t="s">
        <v>62</v>
      </c>
    </row>
    <row r="14">
      <c r="A14" s="5" t="s">
        <v>59</v>
      </c>
      <c r="B14" s="5" t="s">
        <v>79</v>
      </c>
      <c r="C14" s="5" t="s">
        <v>62</v>
      </c>
    </row>
    <row r="15">
      <c r="A15" s="5" t="s">
        <v>16</v>
      </c>
      <c r="B15" s="5" t="s">
        <v>80</v>
      </c>
      <c r="C15" s="5" t="s">
        <v>20</v>
      </c>
      <c r="D15" s="5" t="s">
        <v>81</v>
      </c>
      <c r="E15" s="5" t="s">
        <v>82</v>
      </c>
      <c r="F15" s="5" t="s">
        <v>83</v>
      </c>
    </row>
    <row r="16">
      <c r="A16" s="5" t="s">
        <v>16</v>
      </c>
      <c r="B16" s="5" t="s">
        <v>85</v>
      </c>
      <c r="C16" s="5" t="s">
        <v>20</v>
      </c>
      <c r="D16" s="5" t="s">
        <v>86</v>
      </c>
      <c r="E16" s="5" t="s">
        <v>87</v>
      </c>
      <c r="F16" s="5" t="s">
        <v>88</v>
      </c>
    </row>
    <row r="17">
      <c r="A17" s="5" t="s">
        <v>16</v>
      </c>
      <c r="B17" s="5" t="s">
        <v>90</v>
      </c>
      <c r="C17" s="5" t="s">
        <v>20</v>
      </c>
      <c r="D17" s="5" t="s">
        <v>86</v>
      </c>
      <c r="E17" s="5" t="s">
        <v>91</v>
      </c>
      <c r="F17" s="5" t="s">
        <v>93</v>
      </c>
    </row>
    <row r="18">
      <c r="A18" s="5" t="s">
        <v>16</v>
      </c>
      <c r="B18" s="5" t="s">
        <v>94</v>
      </c>
      <c r="C18" s="5" t="s">
        <v>20</v>
      </c>
      <c r="D18" s="5" t="s">
        <v>95</v>
      </c>
      <c r="E18" s="5" t="s">
        <v>96</v>
      </c>
      <c r="F18" s="5" t="s">
        <v>97</v>
      </c>
    </row>
    <row r="19">
      <c r="A19" s="5" t="s">
        <v>16</v>
      </c>
      <c r="B19" s="5" t="s">
        <v>98</v>
      </c>
      <c r="C19" s="5" t="s">
        <v>20</v>
      </c>
      <c r="D19" s="5" t="s">
        <v>21</v>
      </c>
      <c r="E19" s="5" t="s">
        <v>99</v>
      </c>
      <c r="F19" s="5" t="s">
        <v>100</v>
      </c>
    </row>
    <row r="20">
      <c r="A20" s="5" t="s">
        <v>16</v>
      </c>
      <c r="B20" s="5" t="s">
        <v>102</v>
      </c>
      <c r="C20" s="5" t="s">
        <v>20</v>
      </c>
      <c r="D20" s="5" t="s">
        <v>103</v>
      </c>
      <c r="E20" s="5" t="s">
        <v>104</v>
      </c>
      <c r="F20" s="5" t="s">
        <v>105</v>
      </c>
    </row>
    <row r="21">
      <c r="A21" s="5" t="s">
        <v>16</v>
      </c>
      <c r="B21" s="5" t="s">
        <v>106</v>
      </c>
      <c r="C21" s="5" t="s">
        <v>20</v>
      </c>
      <c r="D21" s="5" t="s">
        <v>86</v>
      </c>
      <c r="E21" s="5" t="s">
        <v>107</v>
      </c>
      <c r="F21" s="5" t="s">
        <v>108</v>
      </c>
    </row>
    <row r="22">
      <c r="A22" s="5" t="s">
        <v>16</v>
      </c>
      <c r="B22" s="5" t="s">
        <v>109</v>
      </c>
      <c r="C22" s="5" t="s">
        <v>20</v>
      </c>
      <c r="D22" s="5" t="s">
        <v>110</v>
      </c>
      <c r="E22" s="5" t="s">
        <v>111</v>
      </c>
      <c r="F22" s="5" t="s">
        <v>112</v>
      </c>
    </row>
    <row r="23">
      <c r="A23" s="5" t="s">
        <v>16</v>
      </c>
      <c r="B23" s="5" t="s">
        <v>113</v>
      </c>
      <c r="C23" s="5" t="s">
        <v>20</v>
      </c>
      <c r="D23" s="5" t="s">
        <v>45</v>
      </c>
      <c r="E23" s="5" t="s">
        <v>114</v>
      </c>
      <c r="F23" s="5" t="s">
        <v>115</v>
      </c>
    </row>
    <row r="24">
      <c r="A24" s="5" t="s">
        <v>16</v>
      </c>
      <c r="B24" s="5" t="s">
        <v>117</v>
      </c>
      <c r="C24" s="5" t="s">
        <v>20</v>
      </c>
      <c r="D24" s="5" t="s">
        <v>118</v>
      </c>
      <c r="E24" s="5" t="s">
        <v>119</v>
      </c>
      <c r="F24" s="5" t="s">
        <v>120</v>
      </c>
    </row>
    <row r="25">
      <c r="A25" s="5" t="s">
        <v>16</v>
      </c>
      <c r="B25" s="5" t="s">
        <v>121</v>
      </c>
      <c r="C25" s="5" t="s">
        <v>20</v>
      </c>
      <c r="E25" s="5" t="s">
        <v>122</v>
      </c>
      <c r="F25" s="5" t="s">
        <v>123</v>
      </c>
    </row>
    <row r="26">
      <c r="A26" s="5" t="s">
        <v>59</v>
      </c>
      <c r="B26" s="5" t="s">
        <v>124</v>
      </c>
      <c r="C26" s="5" t="s">
        <v>62</v>
      </c>
    </row>
    <row r="27">
      <c r="A27" s="5" t="s">
        <v>16</v>
      </c>
      <c r="B27" s="5" t="s">
        <v>126</v>
      </c>
      <c r="C27" s="5" t="s">
        <v>20</v>
      </c>
      <c r="D27" s="5" t="s">
        <v>128</v>
      </c>
      <c r="E27" s="5" t="s">
        <v>129</v>
      </c>
      <c r="F27" s="5" t="s">
        <v>130</v>
      </c>
    </row>
    <row r="28">
      <c r="A28" s="5" t="s">
        <v>59</v>
      </c>
      <c r="B28" s="5" t="s">
        <v>132</v>
      </c>
      <c r="C28" s="5" t="s">
        <v>62</v>
      </c>
    </row>
    <row r="29">
      <c r="A29" s="5" t="s">
        <v>16</v>
      </c>
      <c r="B29" s="5" t="s">
        <v>133</v>
      </c>
      <c r="C29" s="5" t="s">
        <v>20</v>
      </c>
      <c r="D29" s="5" t="s">
        <v>134</v>
      </c>
      <c r="E29" s="5" t="s">
        <v>135</v>
      </c>
    </row>
    <row r="30">
      <c r="A30" s="5" t="s">
        <v>16</v>
      </c>
      <c r="B30" s="5" t="s">
        <v>136</v>
      </c>
      <c r="C30" s="5" t="s">
        <v>20</v>
      </c>
      <c r="D30" s="5" t="s">
        <v>134</v>
      </c>
      <c r="E30" s="5" t="s">
        <v>137</v>
      </c>
    </row>
    <row r="31">
      <c r="A31" s="5" t="s">
        <v>138</v>
      </c>
      <c r="B31" s="5" t="s">
        <v>139</v>
      </c>
      <c r="C31" s="5" t="s">
        <v>62</v>
      </c>
    </row>
    <row r="32">
      <c r="A32" s="5" t="s">
        <v>16</v>
      </c>
      <c r="B32" s="5" t="s">
        <v>140</v>
      </c>
      <c r="C32" s="5" t="s">
        <v>20</v>
      </c>
      <c r="D32" s="5" t="s">
        <v>21</v>
      </c>
      <c r="E32" s="5" t="s">
        <v>142</v>
      </c>
      <c r="F32" s="5" t="s">
        <v>143</v>
      </c>
    </row>
    <row r="33">
      <c r="A33" s="5" t="s">
        <v>16</v>
      </c>
      <c r="B33" s="5" t="s">
        <v>144</v>
      </c>
      <c r="C33" s="5" t="s">
        <v>51</v>
      </c>
      <c r="D33" s="5" t="s">
        <v>118</v>
      </c>
      <c r="E33" s="5" t="s">
        <v>145</v>
      </c>
      <c r="F33" s="5" t="s">
        <v>146</v>
      </c>
    </row>
    <row r="34">
      <c r="A34" s="5" t="s">
        <v>16</v>
      </c>
      <c r="B34" s="5" t="s">
        <v>147</v>
      </c>
      <c r="C34" s="5" t="s">
        <v>20</v>
      </c>
      <c r="D34" s="5" t="s">
        <v>148</v>
      </c>
      <c r="E34" s="5" t="s">
        <v>149</v>
      </c>
      <c r="F34" s="5" t="s">
        <v>150</v>
      </c>
    </row>
    <row r="35">
      <c r="A35" s="5" t="s">
        <v>151</v>
      </c>
      <c r="B35" s="5" t="s">
        <v>152</v>
      </c>
      <c r="C35" s="5" t="s">
        <v>154</v>
      </c>
      <c r="E35" s="5" t="s">
        <v>155</v>
      </c>
      <c r="F35" s="5" t="s">
        <v>157</v>
      </c>
    </row>
    <row r="36">
      <c r="A36" s="5" t="s">
        <v>59</v>
      </c>
      <c r="B36" s="5" t="s">
        <v>158</v>
      </c>
      <c r="C36" s="5" t="s">
        <v>62</v>
      </c>
    </row>
    <row r="37">
      <c r="A37" s="5" t="s">
        <v>16</v>
      </c>
      <c r="B37" s="5" t="s">
        <v>159</v>
      </c>
      <c r="C37" s="5" t="s">
        <v>20</v>
      </c>
      <c r="D37" s="5" t="s">
        <v>86</v>
      </c>
      <c r="E37" s="5" t="s">
        <v>160</v>
      </c>
      <c r="F37" s="5" t="s">
        <v>161</v>
      </c>
    </row>
    <row r="38">
      <c r="A38" s="5" t="s">
        <v>16</v>
      </c>
      <c r="B38" s="5" t="s">
        <v>162</v>
      </c>
      <c r="C38" s="5" t="s">
        <v>20</v>
      </c>
      <c r="D38" s="5" t="s">
        <v>86</v>
      </c>
      <c r="E38" s="5" t="s">
        <v>163</v>
      </c>
      <c r="F38" s="5" t="s">
        <v>164</v>
      </c>
    </row>
    <row r="39">
      <c r="A39" s="5" t="s">
        <v>16</v>
      </c>
      <c r="B39" s="5" t="s">
        <v>165</v>
      </c>
      <c r="C39" s="5" t="s">
        <v>20</v>
      </c>
      <c r="D39" s="5" t="s">
        <v>45</v>
      </c>
      <c r="E39" s="5" t="s">
        <v>169</v>
      </c>
      <c r="F39" s="5" t="s">
        <v>170</v>
      </c>
    </row>
    <row r="40">
      <c r="A40" s="5" t="s">
        <v>16</v>
      </c>
      <c r="B40" s="5" t="s">
        <v>171</v>
      </c>
      <c r="C40" s="5" t="s">
        <v>20</v>
      </c>
      <c r="D40" s="5" t="s">
        <v>172</v>
      </c>
      <c r="E40" s="5" t="s">
        <v>173</v>
      </c>
      <c r="F40" s="5" t="s">
        <v>174</v>
      </c>
    </row>
    <row r="41">
      <c r="A41" s="5" t="s">
        <v>138</v>
      </c>
      <c r="B41" s="5" t="s">
        <v>175</v>
      </c>
      <c r="C41" s="5" t="s">
        <v>176</v>
      </c>
    </row>
    <row r="42">
      <c r="A42" s="5" t="s">
        <v>59</v>
      </c>
      <c r="B42" s="5" t="s">
        <v>177</v>
      </c>
      <c r="C42" s="5" t="s">
        <v>62</v>
      </c>
    </row>
    <row r="43">
      <c r="A43" s="5" t="s">
        <v>16</v>
      </c>
      <c r="B43" s="5" t="s">
        <v>178</v>
      </c>
      <c r="C43" s="5" t="s">
        <v>20</v>
      </c>
      <c r="D43" s="5" t="s">
        <v>179</v>
      </c>
      <c r="E43" s="5" t="s">
        <v>181</v>
      </c>
      <c r="F43" s="5" t="s">
        <v>183</v>
      </c>
    </row>
    <row r="44">
      <c r="A44" s="5" t="s">
        <v>16</v>
      </c>
      <c r="B44" s="5" t="s">
        <v>186</v>
      </c>
      <c r="C44" s="5" t="s">
        <v>20</v>
      </c>
      <c r="D44" s="5" t="s">
        <v>187</v>
      </c>
      <c r="E44" s="5" t="s">
        <v>188</v>
      </c>
      <c r="F44" s="5" t="s">
        <v>189</v>
      </c>
    </row>
    <row r="45">
      <c r="A45" s="5" t="s">
        <v>190</v>
      </c>
      <c r="B45" s="5" t="s">
        <v>191</v>
      </c>
      <c r="C45" s="5" t="s">
        <v>192</v>
      </c>
      <c r="E45" s="5" t="s">
        <v>194</v>
      </c>
      <c r="F45" s="5" t="s">
        <v>196</v>
      </c>
    </row>
    <row r="46">
      <c r="A46" s="5" t="s">
        <v>16</v>
      </c>
      <c r="B46" s="5" t="s">
        <v>198</v>
      </c>
      <c r="C46" s="5" t="s">
        <v>20</v>
      </c>
      <c r="D46" s="5" t="s">
        <v>201</v>
      </c>
      <c r="E46" s="5" t="s">
        <v>202</v>
      </c>
      <c r="F46" s="5" t="s">
        <v>203</v>
      </c>
    </row>
    <row r="47">
      <c r="A47" s="5" t="s">
        <v>16</v>
      </c>
      <c r="B47" s="5" t="s">
        <v>204</v>
      </c>
      <c r="C47" s="5" t="s">
        <v>20</v>
      </c>
      <c r="D47" s="5" t="s">
        <v>81</v>
      </c>
      <c r="E47" s="5" t="s">
        <v>205</v>
      </c>
      <c r="F47" s="5" t="s">
        <v>206</v>
      </c>
    </row>
    <row r="48">
      <c r="A48" s="5" t="s">
        <v>207</v>
      </c>
      <c r="B48" s="5" t="s">
        <v>208</v>
      </c>
      <c r="C48" s="5" t="s">
        <v>209</v>
      </c>
      <c r="E48" s="5" t="s">
        <v>211</v>
      </c>
      <c r="F48" s="5" t="s">
        <v>213</v>
      </c>
    </row>
    <row r="49">
      <c r="A49" s="5" t="s">
        <v>16</v>
      </c>
      <c r="B49" s="5" t="s">
        <v>215</v>
      </c>
      <c r="C49" s="5" t="s">
        <v>20</v>
      </c>
      <c r="D49" s="5" t="s">
        <v>216</v>
      </c>
      <c r="E49" s="5" t="s">
        <v>217</v>
      </c>
      <c r="F49" s="5" t="s">
        <v>218</v>
      </c>
    </row>
    <row r="50">
      <c r="A50" s="5" t="s">
        <v>16</v>
      </c>
      <c r="B50" s="5" t="s">
        <v>219</v>
      </c>
      <c r="C50" s="5" t="s">
        <v>20</v>
      </c>
      <c r="D50" s="5" t="s">
        <v>220</v>
      </c>
      <c r="E50" s="5" t="s">
        <v>221</v>
      </c>
      <c r="F50" s="5" t="s">
        <v>222</v>
      </c>
    </row>
    <row r="51">
      <c r="A51" s="5" t="s">
        <v>59</v>
      </c>
      <c r="B51" s="5" t="s">
        <v>223</v>
      </c>
      <c r="C51" s="5" t="s">
        <v>62</v>
      </c>
    </row>
    <row r="52">
      <c r="A52" s="5" t="s">
        <v>190</v>
      </c>
      <c r="B52" s="5" t="s">
        <v>225</v>
      </c>
      <c r="D52" s="5" t="s">
        <v>227</v>
      </c>
      <c r="F52" s="5" t="s">
        <v>229</v>
      </c>
    </row>
    <row r="53">
      <c r="A53" s="5" t="s">
        <v>16</v>
      </c>
      <c r="B53" s="5" t="s">
        <v>230</v>
      </c>
      <c r="C53" s="5" t="s">
        <v>20</v>
      </c>
      <c r="D53" s="5" t="s">
        <v>86</v>
      </c>
      <c r="E53" s="5" t="s">
        <v>231</v>
      </c>
      <c r="F53" s="5" t="s">
        <v>232</v>
      </c>
    </row>
    <row r="54">
      <c r="A54" s="5" t="s">
        <v>16</v>
      </c>
      <c r="B54" s="5" t="s">
        <v>233</v>
      </c>
      <c r="C54" s="5" t="s">
        <v>20</v>
      </c>
      <c r="D54" s="5" t="s">
        <v>187</v>
      </c>
      <c r="E54" s="5" t="s">
        <v>234</v>
      </c>
      <c r="F54" s="5" t="s">
        <v>235</v>
      </c>
    </row>
    <row r="55">
      <c r="A55" s="5" t="s">
        <v>16</v>
      </c>
      <c r="B55" s="5" t="s">
        <v>237</v>
      </c>
      <c r="C55" s="5" t="s">
        <v>20</v>
      </c>
      <c r="D55" s="5" t="s">
        <v>238</v>
      </c>
      <c r="E55" s="5" t="s">
        <v>239</v>
      </c>
      <c r="F55" s="5" t="s">
        <v>240</v>
      </c>
    </row>
    <row r="56">
      <c r="A56" s="5" t="s">
        <v>16</v>
      </c>
      <c r="B56" s="5" t="s">
        <v>241</v>
      </c>
      <c r="C56" s="5" t="s">
        <v>20</v>
      </c>
      <c r="D56" s="5" t="s">
        <v>110</v>
      </c>
      <c r="E56" s="5" t="s">
        <v>242</v>
      </c>
      <c r="F56" s="5" t="s">
        <v>243</v>
      </c>
    </row>
    <row r="57">
      <c r="A57" s="5" t="s">
        <v>16</v>
      </c>
      <c r="B57" s="5" t="s">
        <v>245</v>
      </c>
      <c r="C57" s="5" t="s">
        <v>20</v>
      </c>
      <c r="D57" s="5" t="s">
        <v>86</v>
      </c>
      <c r="E57" s="5" t="s">
        <v>246</v>
      </c>
      <c r="F57" s="5" t="s">
        <v>247</v>
      </c>
    </row>
    <row r="58">
      <c r="A58" s="5" t="s">
        <v>16</v>
      </c>
      <c r="B58" s="5" t="s">
        <v>248</v>
      </c>
      <c r="C58" s="5" t="s">
        <v>51</v>
      </c>
      <c r="D58" s="5" t="s">
        <v>52</v>
      </c>
      <c r="E58" s="5" t="s">
        <v>249</v>
      </c>
      <c r="F58" s="5" t="s">
        <v>250</v>
      </c>
    </row>
    <row r="59">
      <c r="A59" s="5" t="s">
        <v>16</v>
      </c>
      <c r="B59" s="5" t="s">
        <v>251</v>
      </c>
      <c r="C59" s="5" t="s">
        <v>20</v>
      </c>
      <c r="D59" s="5" t="s">
        <v>238</v>
      </c>
      <c r="E59" s="5" t="s">
        <v>252</v>
      </c>
      <c r="F59" s="5" t="s">
        <v>253</v>
      </c>
    </row>
    <row r="60">
      <c r="A60" s="5" t="s">
        <v>16</v>
      </c>
      <c r="B60" s="5" t="s">
        <v>254</v>
      </c>
      <c r="C60" s="5" t="s">
        <v>20</v>
      </c>
      <c r="D60" s="5" t="s">
        <v>201</v>
      </c>
      <c r="E60" s="5" t="s">
        <v>257</v>
      </c>
      <c r="F60" s="5" t="s">
        <v>258</v>
      </c>
    </row>
    <row r="61">
      <c r="A61" s="5" t="s">
        <v>16</v>
      </c>
      <c r="B61" s="5" t="s">
        <v>259</v>
      </c>
      <c r="C61" s="5" t="s">
        <v>20</v>
      </c>
      <c r="D61" s="5" t="s">
        <v>86</v>
      </c>
      <c r="E61" s="5" t="s">
        <v>260</v>
      </c>
      <c r="F61" s="5" t="s">
        <v>261</v>
      </c>
    </row>
    <row r="62">
      <c r="A62" s="5" t="s">
        <v>16</v>
      </c>
      <c r="B62" s="5" t="s">
        <v>262</v>
      </c>
      <c r="C62" s="5" t="s">
        <v>20</v>
      </c>
      <c r="D62" s="5" t="s">
        <v>86</v>
      </c>
      <c r="E62" s="5" t="s">
        <v>263</v>
      </c>
      <c r="F62" s="5" t="s">
        <v>264</v>
      </c>
    </row>
    <row r="63">
      <c r="A63" s="5" t="s">
        <v>16</v>
      </c>
      <c r="B63" s="5" t="s">
        <v>265</v>
      </c>
      <c r="C63" s="5" t="s">
        <v>51</v>
      </c>
      <c r="D63" s="5" t="s">
        <v>266</v>
      </c>
      <c r="E63" s="5" t="s">
        <v>267</v>
      </c>
      <c r="F63" s="5" t="s">
        <v>268</v>
      </c>
    </row>
    <row r="64">
      <c r="A64" s="5" t="s">
        <v>16</v>
      </c>
      <c r="B64" s="5" t="s">
        <v>270</v>
      </c>
      <c r="C64" s="5" t="s">
        <v>20</v>
      </c>
      <c r="D64" s="5" t="s">
        <v>273</v>
      </c>
      <c r="E64" s="5" t="s">
        <v>274</v>
      </c>
      <c r="F64" s="5" t="s">
        <v>275</v>
      </c>
    </row>
    <row r="65">
      <c r="A65" s="5" t="s">
        <v>16</v>
      </c>
      <c r="B65" s="5" t="s">
        <v>276</v>
      </c>
      <c r="C65" s="5" t="s">
        <v>20</v>
      </c>
      <c r="D65" s="5" t="s">
        <v>134</v>
      </c>
      <c r="E65" s="5" t="s">
        <v>277</v>
      </c>
      <c r="F65" s="5" t="s">
        <v>278</v>
      </c>
    </row>
    <row r="66">
      <c r="A66" s="5" t="s">
        <v>16</v>
      </c>
      <c r="B66" s="5" t="s">
        <v>279</v>
      </c>
      <c r="C66" s="5" t="s">
        <v>20</v>
      </c>
      <c r="D66" s="5" t="s">
        <v>41</v>
      </c>
      <c r="E66" s="5" t="s">
        <v>280</v>
      </c>
      <c r="F66" s="5" t="s">
        <v>281</v>
      </c>
    </row>
    <row r="67">
      <c r="A67" s="5" t="s">
        <v>16</v>
      </c>
      <c r="B67" s="5" t="s">
        <v>282</v>
      </c>
      <c r="C67" s="5" t="s">
        <v>20</v>
      </c>
      <c r="D67" s="5" t="s">
        <v>134</v>
      </c>
      <c r="E67" s="5" t="s">
        <v>284</v>
      </c>
      <c r="F67" s="5" t="s">
        <v>286</v>
      </c>
    </row>
    <row r="68">
      <c r="A68" s="5" t="s">
        <v>16</v>
      </c>
      <c r="B68" s="5" t="s">
        <v>288</v>
      </c>
      <c r="C68" s="5" t="s">
        <v>20</v>
      </c>
      <c r="D68" s="5" t="s">
        <v>273</v>
      </c>
      <c r="E68" s="5" t="s">
        <v>289</v>
      </c>
      <c r="F68" s="5" t="s">
        <v>291</v>
      </c>
    </row>
    <row r="69">
      <c r="A69" s="5" t="s">
        <v>59</v>
      </c>
      <c r="B69" s="5" t="s">
        <v>292</v>
      </c>
      <c r="C69" s="5" t="s">
        <v>62</v>
      </c>
    </row>
    <row r="70">
      <c r="A70" s="5" t="s">
        <v>294</v>
      </c>
      <c r="B70" s="5" t="s">
        <v>296</v>
      </c>
      <c r="C70" s="5" t="s">
        <v>62</v>
      </c>
    </row>
    <row r="71">
      <c r="A71" s="5" t="s">
        <v>294</v>
      </c>
      <c r="B71" s="5" t="s">
        <v>299</v>
      </c>
      <c r="C71" s="5" t="s">
        <v>62</v>
      </c>
    </row>
    <row r="72">
      <c r="A72" s="5" t="s">
        <v>59</v>
      </c>
      <c r="B72" s="5" t="s">
        <v>302</v>
      </c>
      <c r="C72" s="5" t="s">
        <v>62</v>
      </c>
    </row>
    <row r="73">
      <c r="A73" s="5" t="s">
        <v>59</v>
      </c>
      <c r="B73" s="5" t="s">
        <v>306</v>
      </c>
      <c r="C73" s="5" t="s">
        <v>62</v>
      </c>
    </row>
    <row r="74">
      <c r="A74" s="5" t="s">
        <v>59</v>
      </c>
      <c r="B74" s="5" t="s">
        <v>309</v>
      </c>
      <c r="C74" s="5" t="s">
        <v>62</v>
      </c>
    </row>
    <row r="75">
      <c r="A75" s="5" t="s">
        <v>59</v>
      </c>
      <c r="B75" s="5" t="s">
        <v>310</v>
      </c>
      <c r="C75" s="5" t="s">
        <v>62</v>
      </c>
    </row>
    <row r="76">
      <c r="A76" s="5" t="s">
        <v>68</v>
      </c>
      <c r="B76" s="5" t="s">
        <v>311</v>
      </c>
      <c r="C76" s="5" t="s">
        <v>62</v>
      </c>
    </row>
    <row r="77">
      <c r="A77" s="5" t="s">
        <v>16</v>
      </c>
      <c r="B77" s="5" t="s">
        <v>312</v>
      </c>
      <c r="C77" s="5" t="s">
        <v>20</v>
      </c>
      <c r="D77" s="5" t="s">
        <v>187</v>
      </c>
      <c r="E77" s="5" t="s">
        <v>313</v>
      </c>
      <c r="F77" s="5" t="s">
        <v>314</v>
      </c>
    </row>
    <row r="78">
      <c r="A78" s="5" t="s">
        <v>16</v>
      </c>
      <c r="B78" s="5" t="s">
        <v>315</v>
      </c>
      <c r="C78" s="5" t="s">
        <v>20</v>
      </c>
      <c r="D78" s="5" t="s">
        <v>318</v>
      </c>
      <c r="E78" s="5" t="s">
        <v>320</v>
      </c>
      <c r="F78" s="5" t="s">
        <v>321</v>
      </c>
    </row>
    <row r="79">
      <c r="A79" s="5" t="s">
        <v>16</v>
      </c>
      <c r="B79" s="5" t="s">
        <v>322</v>
      </c>
      <c r="C79" s="5" t="s">
        <v>20</v>
      </c>
      <c r="D79" s="5" t="s">
        <v>21</v>
      </c>
      <c r="E79" s="5" t="s">
        <v>323</v>
      </c>
      <c r="F79" s="5" t="s">
        <v>324</v>
      </c>
    </row>
    <row r="80">
      <c r="A80" s="5" t="s">
        <v>16</v>
      </c>
      <c r="B80" s="5" t="s">
        <v>326</v>
      </c>
      <c r="C80" s="5" t="s">
        <v>20</v>
      </c>
      <c r="D80" s="5" t="s">
        <v>21</v>
      </c>
      <c r="E80" s="5" t="s">
        <v>327</v>
      </c>
      <c r="F80" s="5" t="s">
        <v>328</v>
      </c>
    </row>
    <row r="81">
      <c r="A81" s="5" t="s">
        <v>16</v>
      </c>
      <c r="B81" s="5" t="s">
        <v>329</v>
      </c>
      <c r="C81" s="5" t="s">
        <v>20</v>
      </c>
      <c r="D81" s="5" t="s">
        <v>21</v>
      </c>
      <c r="E81" s="5" t="s">
        <v>331</v>
      </c>
      <c r="F81" s="5" t="s">
        <v>334</v>
      </c>
    </row>
    <row r="82">
      <c r="A82" s="5" t="s">
        <v>16</v>
      </c>
      <c r="B82" s="5" t="s">
        <v>335</v>
      </c>
      <c r="C82" s="5" t="s">
        <v>20</v>
      </c>
      <c r="D82" s="5" t="s">
        <v>56</v>
      </c>
      <c r="E82" s="5" t="s">
        <v>336</v>
      </c>
      <c r="F82" s="5" t="s">
        <v>340</v>
      </c>
    </row>
    <row r="83">
      <c r="A83" s="5" t="s">
        <v>16</v>
      </c>
      <c r="B83" s="5" t="s">
        <v>341</v>
      </c>
      <c r="C83" s="5" t="s">
        <v>20</v>
      </c>
      <c r="D83" s="5" t="s">
        <v>148</v>
      </c>
      <c r="E83" s="5" t="s">
        <v>342</v>
      </c>
      <c r="F83" s="5" t="s">
        <v>343</v>
      </c>
    </row>
    <row r="84">
      <c r="A84" s="5" t="s">
        <v>16</v>
      </c>
      <c r="B84" s="5" t="s">
        <v>344</v>
      </c>
      <c r="C84" s="5" t="s">
        <v>20</v>
      </c>
      <c r="D84" s="5" t="s">
        <v>86</v>
      </c>
      <c r="E84" s="5" t="s">
        <v>345</v>
      </c>
      <c r="F84" s="5" t="s">
        <v>346</v>
      </c>
    </row>
    <row r="85">
      <c r="A85" s="5" t="s">
        <v>59</v>
      </c>
      <c r="B85" s="5" t="s">
        <v>347</v>
      </c>
      <c r="C85" s="5" t="s">
        <v>62</v>
      </c>
    </row>
    <row r="86">
      <c r="A86" s="5" t="s">
        <v>16</v>
      </c>
      <c r="B86" s="5" t="s">
        <v>349</v>
      </c>
      <c r="C86" s="5" t="s">
        <v>20</v>
      </c>
      <c r="D86" s="5" t="s">
        <v>81</v>
      </c>
      <c r="E86" s="5" t="s">
        <v>352</v>
      </c>
      <c r="F86" s="5" t="s">
        <v>353</v>
      </c>
    </row>
    <row r="87">
      <c r="A87" s="5" t="s">
        <v>16</v>
      </c>
      <c r="B87" s="5" t="s">
        <v>354</v>
      </c>
      <c r="C87" s="5" t="s">
        <v>20</v>
      </c>
      <c r="D87" s="5" t="s">
        <v>134</v>
      </c>
      <c r="E87" s="5" t="s">
        <v>356</v>
      </c>
      <c r="F87" s="5" t="s">
        <v>357</v>
      </c>
    </row>
    <row r="88">
      <c r="A88" s="5" t="s">
        <v>16</v>
      </c>
      <c r="B88" s="5" t="s">
        <v>358</v>
      </c>
      <c r="C88" s="5" t="s">
        <v>20</v>
      </c>
      <c r="D88" s="5" t="s">
        <v>187</v>
      </c>
      <c r="E88" s="5" t="s">
        <v>359</v>
      </c>
      <c r="F88" s="5" t="s">
        <v>360</v>
      </c>
    </row>
    <row r="89">
      <c r="A89" s="5" t="s">
        <v>16</v>
      </c>
      <c r="B89" s="5" t="s">
        <v>361</v>
      </c>
      <c r="C89" s="5" t="s">
        <v>20</v>
      </c>
      <c r="D89" s="5" t="s">
        <v>21</v>
      </c>
      <c r="E89" s="5" t="s">
        <v>362</v>
      </c>
      <c r="F89" s="5" t="s">
        <v>363</v>
      </c>
    </row>
    <row r="90">
      <c r="A90" s="5" t="s">
        <v>16</v>
      </c>
      <c r="B90" s="5" t="s">
        <v>365</v>
      </c>
      <c r="C90" s="5" t="s">
        <v>20</v>
      </c>
      <c r="D90" s="5" t="s">
        <v>179</v>
      </c>
      <c r="E90" s="5" t="s">
        <v>367</v>
      </c>
      <c r="F90" s="5" t="s">
        <v>368</v>
      </c>
    </row>
    <row r="91">
      <c r="A91" s="5" t="s">
        <v>16</v>
      </c>
      <c r="B91" s="5" t="s">
        <v>369</v>
      </c>
      <c r="C91" s="5" t="s">
        <v>20</v>
      </c>
      <c r="D91" s="5" t="s">
        <v>370</v>
      </c>
      <c r="E91" s="5" t="s">
        <v>371</v>
      </c>
      <c r="F91" s="5" t="s">
        <v>372</v>
      </c>
    </row>
    <row r="92">
      <c r="A92" s="5" t="s">
        <v>16</v>
      </c>
      <c r="B92" s="5" t="s">
        <v>373</v>
      </c>
      <c r="C92" s="5" t="s">
        <v>20</v>
      </c>
      <c r="D92" s="5" t="s">
        <v>41</v>
      </c>
      <c r="E92" s="5" t="s">
        <v>374</v>
      </c>
      <c r="F92" s="5" t="s">
        <v>375</v>
      </c>
    </row>
    <row r="93">
      <c r="A93" s="5" t="s">
        <v>16</v>
      </c>
      <c r="B93" s="5" t="s">
        <v>376</v>
      </c>
      <c r="C93" s="5" t="s">
        <v>20</v>
      </c>
      <c r="D93" s="5" t="s">
        <v>377</v>
      </c>
      <c r="E93" s="5" t="s">
        <v>378</v>
      </c>
      <c r="F93" s="5" t="s">
        <v>379</v>
      </c>
    </row>
    <row r="94">
      <c r="A94" s="5" t="s">
        <v>16</v>
      </c>
      <c r="B94" s="5" t="s">
        <v>380</v>
      </c>
      <c r="C94" s="5" t="s">
        <v>20</v>
      </c>
      <c r="D94" s="5" t="s">
        <v>377</v>
      </c>
      <c r="E94" s="5" t="s">
        <v>381</v>
      </c>
      <c r="F94" s="5" t="s">
        <v>383</v>
      </c>
    </row>
    <row r="95">
      <c r="A95" s="5" t="s">
        <v>16</v>
      </c>
      <c r="B95" s="5" t="s">
        <v>384</v>
      </c>
      <c r="C95" s="5" t="s">
        <v>20</v>
      </c>
      <c r="D95" s="5" t="s">
        <v>187</v>
      </c>
      <c r="E95" s="5" t="s">
        <v>385</v>
      </c>
      <c r="F95" s="5" t="s">
        <v>387</v>
      </c>
    </row>
    <row r="96">
      <c r="A96" s="5" t="s">
        <v>16</v>
      </c>
      <c r="B96" s="5" t="s">
        <v>388</v>
      </c>
      <c r="C96" s="5" t="s">
        <v>20</v>
      </c>
      <c r="D96" s="5" t="s">
        <v>81</v>
      </c>
      <c r="E96" s="5" t="s">
        <v>389</v>
      </c>
      <c r="F96" s="5" t="s">
        <v>390</v>
      </c>
    </row>
    <row r="97">
      <c r="A97" s="5" t="s">
        <v>16</v>
      </c>
      <c r="B97" s="5" t="s">
        <v>391</v>
      </c>
      <c r="C97" s="5" t="s">
        <v>20</v>
      </c>
      <c r="D97" s="5" t="s">
        <v>187</v>
      </c>
      <c r="E97" s="5" t="s">
        <v>394</v>
      </c>
      <c r="F97" s="5" t="s">
        <v>395</v>
      </c>
    </row>
    <row r="98">
      <c r="A98" s="5" t="s">
        <v>16</v>
      </c>
      <c r="B98" s="5" t="s">
        <v>396</v>
      </c>
      <c r="C98" s="5" t="s">
        <v>20</v>
      </c>
      <c r="D98" s="5" t="s">
        <v>81</v>
      </c>
      <c r="E98" s="5" t="s">
        <v>397</v>
      </c>
      <c r="F98" s="5" t="s">
        <v>398</v>
      </c>
    </row>
    <row r="99">
      <c r="A99" s="5" t="s">
        <v>16</v>
      </c>
      <c r="B99" s="5" t="s">
        <v>399</v>
      </c>
      <c r="C99" s="5" t="s">
        <v>20</v>
      </c>
      <c r="D99" s="5" t="s">
        <v>400</v>
      </c>
      <c r="E99" s="5" t="s">
        <v>401</v>
      </c>
      <c r="F99" s="5" t="s">
        <v>402</v>
      </c>
    </row>
    <row r="100">
      <c r="A100" s="5" t="s">
        <v>16</v>
      </c>
      <c r="B100" s="5" t="s">
        <v>403</v>
      </c>
      <c r="C100" s="5" t="s">
        <v>20</v>
      </c>
      <c r="D100" s="5" t="s">
        <v>21</v>
      </c>
      <c r="E100" s="5" t="s">
        <v>404</v>
      </c>
      <c r="F100" s="5" t="s">
        <v>405</v>
      </c>
    </row>
    <row r="101">
      <c r="A101" s="5" t="s">
        <v>59</v>
      </c>
      <c r="B101" s="5" t="s">
        <v>406</v>
      </c>
      <c r="C101" s="5" t="s">
        <v>407</v>
      </c>
    </row>
    <row r="102">
      <c r="A102" s="5" t="s">
        <v>16</v>
      </c>
      <c r="B102" s="5" t="s">
        <v>408</v>
      </c>
      <c r="C102" s="5" t="s">
        <v>20</v>
      </c>
      <c r="D102" s="5" t="s">
        <v>187</v>
      </c>
      <c r="E102" s="5" t="s">
        <v>410</v>
      </c>
      <c r="F102" s="5" t="s">
        <v>412</v>
      </c>
    </row>
    <row r="103">
      <c r="A103" s="5" t="s">
        <v>16</v>
      </c>
      <c r="B103" s="5" t="s">
        <v>414</v>
      </c>
      <c r="C103" s="5" t="s">
        <v>20</v>
      </c>
      <c r="D103" s="5" t="s">
        <v>187</v>
      </c>
      <c r="E103" s="5" t="s">
        <v>415</v>
      </c>
      <c r="F103" s="5" t="s">
        <v>416</v>
      </c>
    </row>
    <row r="104">
      <c r="A104" s="5" t="s">
        <v>294</v>
      </c>
      <c r="B104" s="5" t="s">
        <v>417</v>
      </c>
      <c r="C104" s="5" t="s">
        <v>418</v>
      </c>
    </row>
    <row r="105">
      <c r="A105" s="5" t="s">
        <v>59</v>
      </c>
      <c r="B105" s="5" t="s">
        <v>419</v>
      </c>
      <c r="C105" s="5" t="s">
        <v>62</v>
      </c>
    </row>
    <row r="106">
      <c r="A106" s="5" t="s">
        <v>16</v>
      </c>
      <c r="B106" s="5" t="s">
        <v>420</v>
      </c>
      <c r="C106" s="5" t="s">
        <v>20</v>
      </c>
      <c r="D106" s="5" t="s">
        <v>81</v>
      </c>
      <c r="E106" s="5" t="s">
        <v>421</v>
      </c>
      <c r="F106" s="5" t="s">
        <v>422</v>
      </c>
    </row>
    <row r="107">
      <c r="A107" s="5" t="s">
        <v>16</v>
      </c>
      <c r="B107" s="5" t="s">
        <v>423</v>
      </c>
      <c r="C107" s="5" t="s">
        <v>20</v>
      </c>
      <c r="D107" s="5" t="s">
        <v>148</v>
      </c>
      <c r="E107" s="5" t="s">
        <v>424</v>
      </c>
      <c r="F107" s="5" t="s">
        <v>425</v>
      </c>
    </row>
    <row r="108">
      <c r="A108" s="5" t="s">
        <v>16</v>
      </c>
      <c r="B108" s="5" t="s">
        <v>426</v>
      </c>
      <c r="C108" s="5" t="s">
        <v>20</v>
      </c>
      <c r="D108" s="5" t="s">
        <v>427</v>
      </c>
      <c r="E108" s="5" t="s">
        <v>429</v>
      </c>
      <c r="F108" s="5" t="s">
        <v>430</v>
      </c>
    </row>
    <row r="109">
      <c r="A109" s="5" t="s">
        <v>16</v>
      </c>
      <c r="B109" s="5" t="s">
        <v>432</v>
      </c>
      <c r="C109" s="5" t="s">
        <v>20</v>
      </c>
      <c r="D109" s="5" t="s">
        <v>427</v>
      </c>
      <c r="E109" s="5" t="s">
        <v>433</v>
      </c>
      <c r="F109" s="5" t="s">
        <v>435</v>
      </c>
    </row>
    <row r="110">
      <c r="A110" s="5" t="s">
        <v>16</v>
      </c>
      <c r="B110" s="5" t="s">
        <v>434</v>
      </c>
      <c r="C110" s="5" t="s">
        <v>20</v>
      </c>
      <c r="D110" s="5" t="s">
        <v>427</v>
      </c>
      <c r="E110" s="5" t="s">
        <v>437</v>
      </c>
      <c r="F110" s="5" t="s">
        <v>439</v>
      </c>
    </row>
    <row r="111">
      <c r="A111" s="5" t="s">
        <v>207</v>
      </c>
      <c r="B111" s="5" t="s">
        <v>440</v>
      </c>
      <c r="C111" s="5" t="s">
        <v>442</v>
      </c>
      <c r="E111" s="5" t="s">
        <v>443</v>
      </c>
      <c r="F111" s="5" t="s">
        <v>444</v>
      </c>
    </row>
    <row r="112">
      <c r="A112" s="5" t="s">
        <v>16</v>
      </c>
      <c r="B112" s="5" t="s">
        <v>436</v>
      </c>
      <c r="C112" s="5" t="s">
        <v>20</v>
      </c>
      <c r="D112" s="5" t="s">
        <v>447</v>
      </c>
      <c r="E112" s="5" t="s">
        <v>448</v>
      </c>
      <c r="F112" s="5" t="s">
        <v>449</v>
      </c>
    </row>
    <row r="113">
      <c r="A113" s="5" t="s">
        <v>16</v>
      </c>
      <c r="B113" s="5" t="s">
        <v>438</v>
      </c>
      <c r="C113" s="5" t="s">
        <v>20</v>
      </c>
      <c r="D113" s="5" t="s">
        <v>134</v>
      </c>
      <c r="E113" s="5" t="s">
        <v>450</v>
      </c>
      <c r="F113" s="5" t="s">
        <v>452</v>
      </c>
    </row>
    <row r="114">
      <c r="A114" s="5" t="s">
        <v>207</v>
      </c>
      <c r="B114" s="5" t="s">
        <v>455</v>
      </c>
      <c r="C114" s="5" t="s">
        <v>457</v>
      </c>
      <c r="E114" s="5" t="s">
        <v>458</v>
      </c>
      <c r="F114" s="5" t="s">
        <v>460</v>
      </c>
    </row>
    <row r="115">
      <c r="A115" s="5" t="s">
        <v>59</v>
      </c>
      <c r="B115" s="5" t="s">
        <v>462</v>
      </c>
      <c r="C115" s="5" t="s">
        <v>62</v>
      </c>
    </row>
    <row r="116">
      <c r="A116" s="5" t="s">
        <v>16</v>
      </c>
      <c r="B116" s="5" t="s">
        <v>441</v>
      </c>
      <c r="C116" s="5" t="s">
        <v>20</v>
      </c>
      <c r="D116" s="5" t="s">
        <v>465</v>
      </c>
      <c r="E116" s="5" t="s">
        <v>467</v>
      </c>
      <c r="F116" s="5" t="s">
        <v>468</v>
      </c>
    </row>
    <row r="117">
      <c r="A117" s="5" t="s">
        <v>16</v>
      </c>
      <c r="B117" s="5" t="s">
        <v>445</v>
      </c>
      <c r="C117" s="5" t="s">
        <v>20</v>
      </c>
      <c r="D117" s="5" t="s">
        <v>148</v>
      </c>
      <c r="E117" s="5" t="s">
        <v>471</v>
      </c>
      <c r="F117" s="5" t="s">
        <v>474</v>
      </c>
    </row>
    <row r="118">
      <c r="A118" s="5" t="s">
        <v>16</v>
      </c>
      <c r="B118" s="5" t="s">
        <v>446</v>
      </c>
      <c r="C118" s="5" t="s">
        <v>20</v>
      </c>
      <c r="D118" s="5" t="s">
        <v>479</v>
      </c>
      <c r="E118" s="5" t="s">
        <v>481</v>
      </c>
      <c r="F118" s="5" t="s">
        <v>482</v>
      </c>
    </row>
    <row r="119">
      <c r="A119" s="5" t="s">
        <v>16</v>
      </c>
      <c r="B119" s="5" t="s">
        <v>453</v>
      </c>
      <c r="C119" s="5" t="s">
        <v>20</v>
      </c>
      <c r="D119" s="5" t="s">
        <v>134</v>
      </c>
      <c r="E119" s="5" t="s">
        <v>483</v>
      </c>
      <c r="F119" s="5" t="s">
        <v>484</v>
      </c>
    </row>
    <row r="120">
      <c r="A120" s="5" t="s">
        <v>59</v>
      </c>
      <c r="B120" s="5" t="s">
        <v>485</v>
      </c>
      <c r="C120" s="5" t="s">
        <v>62</v>
      </c>
    </row>
    <row r="121">
      <c r="A121" s="5" t="s">
        <v>16</v>
      </c>
      <c r="B121" s="5" t="s">
        <v>456</v>
      </c>
      <c r="C121" s="5" t="s">
        <v>51</v>
      </c>
      <c r="E121" s="5" t="s">
        <v>486</v>
      </c>
      <c r="F121" s="5" t="s">
        <v>487</v>
      </c>
    </row>
    <row r="122">
      <c r="A122" s="5" t="s">
        <v>68</v>
      </c>
      <c r="B122" s="5" t="s">
        <v>489</v>
      </c>
      <c r="C122" s="5" t="s">
        <v>62</v>
      </c>
    </row>
    <row r="123">
      <c r="A123" s="5" t="s">
        <v>68</v>
      </c>
      <c r="B123" s="5" t="s">
        <v>491</v>
      </c>
      <c r="C123" s="5" t="s">
        <v>62</v>
      </c>
    </row>
    <row r="124">
      <c r="A124" s="5" t="s">
        <v>68</v>
      </c>
      <c r="B124" s="5" t="s">
        <v>492</v>
      </c>
      <c r="C124" s="5" t="s">
        <v>62</v>
      </c>
    </row>
    <row r="125">
      <c r="A125" s="5" t="s">
        <v>68</v>
      </c>
      <c r="B125" s="5" t="s">
        <v>493</v>
      </c>
      <c r="C125" s="5" t="s">
        <v>62</v>
      </c>
    </row>
    <row r="126">
      <c r="A126" s="5" t="s">
        <v>68</v>
      </c>
      <c r="B126" s="5" t="s">
        <v>494</v>
      </c>
      <c r="C126" s="5" t="s">
        <v>62</v>
      </c>
    </row>
    <row r="127">
      <c r="A127" s="5" t="s">
        <v>68</v>
      </c>
      <c r="B127" s="5" t="s">
        <v>495</v>
      </c>
      <c r="C127" s="5" t="s">
        <v>62</v>
      </c>
    </row>
    <row r="128">
      <c r="A128" s="5" t="s">
        <v>68</v>
      </c>
      <c r="B128" s="5" t="s">
        <v>496</v>
      </c>
      <c r="C128" s="5" t="s">
        <v>62</v>
      </c>
    </row>
    <row r="129">
      <c r="A129" s="5" t="s">
        <v>68</v>
      </c>
      <c r="B129" s="5" t="s">
        <v>500</v>
      </c>
      <c r="C129" s="5" t="s">
        <v>62</v>
      </c>
    </row>
    <row r="130">
      <c r="A130" s="5" t="s">
        <v>68</v>
      </c>
      <c r="B130" s="5" t="s">
        <v>501</v>
      </c>
      <c r="C130" s="5" t="s">
        <v>62</v>
      </c>
    </row>
    <row r="131">
      <c r="A131" s="5" t="s">
        <v>68</v>
      </c>
      <c r="B131" s="5" t="s">
        <v>502</v>
      </c>
      <c r="C131" s="5" t="s">
        <v>62</v>
      </c>
    </row>
    <row r="132">
      <c r="A132" s="5" t="s">
        <v>68</v>
      </c>
      <c r="B132" s="5" t="s">
        <v>503</v>
      </c>
      <c r="C132" s="5" t="s">
        <v>62</v>
      </c>
    </row>
    <row r="133">
      <c r="A133" s="5" t="s">
        <v>68</v>
      </c>
      <c r="B133" s="5" t="s">
        <v>506</v>
      </c>
      <c r="C133" s="5" t="s">
        <v>62</v>
      </c>
    </row>
    <row r="134">
      <c r="A134" s="5" t="s">
        <v>68</v>
      </c>
      <c r="B134" s="5" t="s">
        <v>508</v>
      </c>
      <c r="C134" s="5" t="s">
        <v>62</v>
      </c>
    </row>
    <row r="135">
      <c r="A135" s="5" t="s">
        <v>68</v>
      </c>
      <c r="B135" s="5" t="s">
        <v>509</v>
      </c>
      <c r="C135" s="5" t="s">
        <v>62</v>
      </c>
    </row>
    <row r="136">
      <c r="A136" s="5" t="s">
        <v>68</v>
      </c>
      <c r="B136" s="5" t="s">
        <v>510</v>
      </c>
      <c r="C136" s="5" t="s">
        <v>62</v>
      </c>
    </row>
    <row r="137">
      <c r="A137" s="5" t="s">
        <v>16</v>
      </c>
      <c r="B137" s="5" t="s">
        <v>459</v>
      </c>
      <c r="C137" s="5" t="s">
        <v>20</v>
      </c>
      <c r="D137" s="5" t="s">
        <v>511</v>
      </c>
      <c r="E137" s="5" t="s">
        <v>512</v>
      </c>
      <c r="F137" s="5" t="s">
        <v>513</v>
      </c>
    </row>
    <row r="138">
      <c r="A138" s="5" t="s">
        <v>16</v>
      </c>
      <c r="B138" s="5" t="s">
        <v>461</v>
      </c>
      <c r="C138" s="5" t="s">
        <v>20</v>
      </c>
      <c r="D138" s="5" t="s">
        <v>21</v>
      </c>
      <c r="E138" s="5" t="s">
        <v>514</v>
      </c>
      <c r="F138" s="5" t="s">
        <v>515</v>
      </c>
    </row>
    <row r="139">
      <c r="A139" s="5" t="s">
        <v>16</v>
      </c>
      <c r="B139" s="5" t="s">
        <v>463</v>
      </c>
      <c r="C139" s="5" t="s">
        <v>20</v>
      </c>
      <c r="D139" s="5" t="s">
        <v>21</v>
      </c>
      <c r="E139" s="5" t="s">
        <v>517</v>
      </c>
      <c r="F139" s="5" t="s">
        <v>518</v>
      </c>
    </row>
    <row r="140">
      <c r="A140" s="5" t="s">
        <v>16</v>
      </c>
      <c r="B140" s="5" t="s">
        <v>464</v>
      </c>
      <c r="C140" s="5" t="s">
        <v>20</v>
      </c>
      <c r="D140" s="5" t="s">
        <v>86</v>
      </c>
      <c r="E140" s="5" t="s">
        <v>519</v>
      </c>
      <c r="F140" s="5" t="s">
        <v>520</v>
      </c>
    </row>
    <row r="141">
      <c r="A141" s="5" t="s">
        <v>16</v>
      </c>
      <c r="B141" s="5" t="s">
        <v>466</v>
      </c>
      <c r="C141" s="5" t="s">
        <v>20</v>
      </c>
      <c r="D141" s="5" t="s">
        <v>86</v>
      </c>
      <c r="E141" s="5" t="s">
        <v>521</v>
      </c>
      <c r="F141" s="5" t="s">
        <v>522</v>
      </c>
    </row>
    <row r="142">
      <c r="A142" s="5" t="s">
        <v>16</v>
      </c>
      <c r="B142" s="5" t="s">
        <v>469</v>
      </c>
      <c r="C142" s="5" t="s">
        <v>20</v>
      </c>
      <c r="D142" s="5" t="s">
        <v>187</v>
      </c>
      <c r="E142" s="5" t="s">
        <v>523</v>
      </c>
      <c r="F142" s="5" t="s">
        <v>524</v>
      </c>
    </row>
    <row r="143">
      <c r="A143" s="5" t="s">
        <v>59</v>
      </c>
      <c r="B143" s="5" t="s">
        <v>525</v>
      </c>
      <c r="C143" s="5" t="s">
        <v>62</v>
      </c>
    </row>
    <row r="144">
      <c r="A144" s="5" t="s">
        <v>16</v>
      </c>
      <c r="B144" s="5" t="s">
        <v>470</v>
      </c>
      <c r="C144" s="5" t="s">
        <v>51</v>
      </c>
      <c r="E144" s="5" t="s">
        <v>527</v>
      </c>
      <c r="F144" s="5" t="s">
        <v>528</v>
      </c>
    </row>
    <row r="145">
      <c r="A145" s="5" t="s">
        <v>59</v>
      </c>
      <c r="B145" s="5" t="s">
        <v>529</v>
      </c>
      <c r="C145" s="5" t="s">
        <v>62</v>
      </c>
    </row>
    <row r="146">
      <c r="A146" s="5" t="s">
        <v>16</v>
      </c>
      <c r="B146" s="5" t="s">
        <v>472</v>
      </c>
      <c r="C146" s="5" t="s">
        <v>20</v>
      </c>
      <c r="D146" s="5" t="s">
        <v>216</v>
      </c>
      <c r="E146" s="5" t="s">
        <v>530</v>
      </c>
      <c r="F146" s="5" t="s">
        <v>531</v>
      </c>
    </row>
    <row r="147">
      <c r="A147" s="5" t="s">
        <v>16</v>
      </c>
      <c r="B147" s="5" t="s">
        <v>476</v>
      </c>
      <c r="C147" s="5" t="s">
        <v>20</v>
      </c>
      <c r="D147" s="5" t="s">
        <v>273</v>
      </c>
      <c r="E147" s="5" t="s">
        <v>532</v>
      </c>
      <c r="F147" s="5" t="s">
        <v>533</v>
      </c>
    </row>
    <row r="148">
      <c r="A148" s="5" t="s">
        <v>16</v>
      </c>
      <c r="B148" s="5" t="s">
        <v>478</v>
      </c>
      <c r="C148" s="5" t="s">
        <v>20</v>
      </c>
      <c r="D148" s="5" t="s">
        <v>110</v>
      </c>
      <c r="E148" s="5" t="s">
        <v>535</v>
      </c>
      <c r="F148" s="5" t="s">
        <v>537</v>
      </c>
    </row>
    <row r="149">
      <c r="A149" s="5" t="s">
        <v>16</v>
      </c>
      <c r="B149" s="5" t="s">
        <v>480</v>
      </c>
      <c r="C149" s="5" t="s">
        <v>20</v>
      </c>
      <c r="D149" s="5" t="s">
        <v>81</v>
      </c>
      <c r="E149" s="5" t="s">
        <v>352</v>
      </c>
      <c r="F149" s="5" t="s">
        <v>539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15</v>
      </c>
      <c r="I1" s="1" t="s">
        <v>17</v>
      </c>
      <c r="J1" s="1" t="s">
        <v>19</v>
      </c>
      <c r="K1" s="7" t="s">
        <v>22</v>
      </c>
      <c r="L1" s="7" t="s">
        <v>25</v>
      </c>
    </row>
    <row r="2">
      <c r="A2" s="8" t="s">
        <v>27</v>
      </c>
      <c r="B2" s="9"/>
      <c r="C2" s="7">
        <v>1.0</v>
      </c>
      <c r="D2" s="9"/>
      <c r="E2" s="9"/>
      <c r="F2" s="9"/>
      <c r="G2" s="9"/>
      <c r="H2" s="9"/>
      <c r="I2" s="9"/>
      <c r="J2" s="9"/>
      <c r="K2" s="10"/>
      <c r="L2" s="10"/>
    </row>
    <row r="3">
      <c r="A3" s="8" t="s">
        <v>39</v>
      </c>
      <c r="B3" s="9"/>
      <c r="C3" s="9"/>
      <c r="D3" s="9"/>
      <c r="E3" s="9"/>
      <c r="F3" s="9"/>
      <c r="G3" s="9"/>
      <c r="H3" s="9"/>
      <c r="I3" s="9"/>
      <c r="J3" s="9"/>
      <c r="K3" s="10"/>
      <c r="L3" s="10"/>
    </row>
    <row r="4">
      <c r="A4" s="8" t="s">
        <v>50</v>
      </c>
      <c r="B4" s="9"/>
      <c r="C4" s="9"/>
      <c r="D4" s="9"/>
      <c r="E4" s="9"/>
      <c r="F4" s="9"/>
      <c r="G4" s="9"/>
      <c r="H4" s="9"/>
      <c r="I4" s="9"/>
      <c r="J4" s="9"/>
      <c r="K4" s="10"/>
      <c r="L4" s="10"/>
    </row>
    <row r="5">
      <c r="A5" s="8" t="s">
        <v>60</v>
      </c>
      <c r="B5" s="9"/>
      <c r="C5" s="9"/>
      <c r="D5" s="9"/>
      <c r="E5" s="9"/>
      <c r="F5" s="9"/>
      <c r="G5" s="9"/>
      <c r="H5" s="9"/>
      <c r="I5" s="9"/>
      <c r="J5" s="9"/>
      <c r="K5" s="10"/>
      <c r="L5" s="10"/>
    </row>
    <row r="6">
      <c r="A6" s="8" t="s">
        <v>66</v>
      </c>
      <c r="B6" s="9"/>
      <c r="C6" s="9"/>
      <c r="D6" s="9"/>
      <c r="E6" s="9"/>
      <c r="F6" s="9"/>
      <c r="G6" s="9"/>
      <c r="H6" s="9"/>
      <c r="I6" s="9"/>
      <c r="J6" s="9"/>
      <c r="K6" s="10"/>
      <c r="L6" s="10"/>
    </row>
    <row r="7">
      <c r="A7" s="8" t="s">
        <v>70</v>
      </c>
      <c r="B7" s="9"/>
      <c r="C7" s="7">
        <v>1.0</v>
      </c>
      <c r="D7" s="9"/>
      <c r="E7" s="9"/>
      <c r="F7" s="9"/>
      <c r="G7" s="9"/>
      <c r="H7" s="9"/>
      <c r="I7" s="9"/>
      <c r="J7" s="9"/>
      <c r="K7" s="10"/>
      <c r="L7" s="10"/>
    </row>
    <row r="8">
      <c r="A8" s="8" t="s">
        <v>78</v>
      </c>
      <c r="B8" s="9"/>
      <c r="C8" s="9"/>
      <c r="D8" s="9"/>
      <c r="E8" s="9"/>
      <c r="F8" s="9"/>
      <c r="G8" s="9"/>
      <c r="H8" s="9"/>
      <c r="I8" s="9"/>
      <c r="J8" s="9"/>
      <c r="K8" s="10"/>
      <c r="L8" s="10"/>
    </row>
    <row r="9">
      <c r="A9" s="8" t="s">
        <v>84</v>
      </c>
      <c r="B9" s="9"/>
      <c r="C9" s="9"/>
      <c r="D9" s="9"/>
      <c r="E9" s="9"/>
      <c r="F9" s="9"/>
      <c r="G9" s="9"/>
      <c r="H9" s="9"/>
      <c r="I9" s="9"/>
      <c r="J9" s="9"/>
      <c r="K9" s="10"/>
      <c r="L9" s="10"/>
    </row>
    <row r="10">
      <c r="A10" s="8" t="s">
        <v>92</v>
      </c>
      <c r="B10" s="9"/>
      <c r="C10" s="9"/>
      <c r="D10" s="9"/>
      <c r="E10" s="9"/>
      <c r="F10" s="9"/>
      <c r="G10" s="9"/>
      <c r="H10" s="9"/>
      <c r="I10" s="9"/>
      <c r="J10" s="9"/>
      <c r="K10" s="10"/>
      <c r="L1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3" t="s">
        <v>3</v>
      </c>
      <c r="B1" s="4" t="s">
        <v>11</v>
      </c>
      <c r="C1" s="4" t="s">
        <v>14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18</v>
      </c>
      <c r="B2" s="11" t="s">
        <v>23</v>
      </c>
      <c r="C2" s="11" t="s">
        <v>49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63</v>
      </c>
      <c r="B3" s="11" t="s">
        <v>64</v>
      </c>
      <c r="C3" s="11" t="s">
        <v>65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72</v>
      </c>
      <c r="B4" s="11" t="s">
        <v>74</v>
      </c>
      <c r="C4" s="13" t="s">
        <v>75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26</v>
      </c>
      <c r="B5" s="11" t="s">
        <v>29</v>
      </c>
      <c r="C5" s="11" t="s">
        <v>89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31</v>
      </c>
      <c r="B6" s="11" t="s">
        <v>33</v>
      </c>
      <c r="C6" s="11" t="s">
        <v>101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35</v>
      </c>
      <c r="B7" s="11" t="s">
        <v>37</v>
      </c>
      <c r="C7" s="11" t="s">
        <v>116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40</v>
      </c>
      <c r="B8" s="11" t="s">
        <v>42</v>
      </c>
      <c r="C8" s="11" t="s">
        <v>131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44</v>
      </c>
      <c r="B9" s="11" t="s">
        <v>46</v>
      </c>
      <c r="C9" s="11" t="s">
        <v>141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153</v>
      </c>
      <c r="B10" s="11" t="s">
        <v>53</v>
      </c>
      <c r="C10" s="11" t="s">
        <v>156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166</v>
      </c>
      <c r="B11" s="11" t="s">
        <v>167</v>
      </c>
      <c r="C11" s="13" t="s">
        <v>168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180</v>
      </c>
      <c r="B12" s="11" t="s">
        <v>182</v>
      </c>
      <c r="C12" s="11" t="s">
        <v>184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193</v>
      </c>
      <c r="B13" s="11" t="s">
        <v>195</v>
      </c>
      <c r="C13" s="11" t="s">
        <v>197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210</v>
      </c>
      <c r="B14" s="11" t="s">
        <v>212</v>
      </c>
      <c r="C14" s="11" t="s">
        <v>214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224</v>
      </c>
      <c r="B15" s="11" t="s">
        <v>226</v>
      </c>
      <c r="C15" s="11" t="s">
        <v>228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55</v>
      </c>
      <c r="B16" s="21" t="s">
        <v>57</v>
      </c>
      <c r="C16" s="11" t="s">
        <v>244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61</v>
      </c>
      <c r="B17" s="11" t="s">
        <v>255</v>
      </c>
      <c r="C17" s="11" t="s">
        <v>256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269</v>
      </c>
      <c r="B18" s="11" t="s">
        <v>271</v>
      </c>
      <c r="C18" s="11" t="s">
        <v>272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283</v>
      </c>
      <c r="B19" s="11" t="s">
        <v>285</v>
      </c>
      <c r="C19" s="11" t="s">
        <v>287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305</v>
      </c>
      <c r="B20" s="11" t="s">
        <v>307</v>
      </c>
      <c r="C20" s="11" t="s">
        <v>308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316</v>
      </c>
      <c r="B21" s="11" t="s">
        <v>317</v>
      </c>
      <c r="C21" s="11" t="s">
        <v>319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330</v>
      </c>
      <c r="B22" s="11" t="s">
        <v>332</v>
      </c>
      <c r="C22" s="11" t="s">
        <v>333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337</v>
      </c>
      <c r="B23" s="11" t="s">
        <v>338</v>
      </c>
      <c r="C23" s="11" t="s">
        <v>339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348</v>
      </c>
      <c r="B24" s="11" t="s">
        <v>350</v>
      </c>
      <c r="C24" s="11" t="s">
        <v>351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69</v>
      </c>
      <c r="B25" s="11" t="s">
        <v>364</v>
      </c>
      <c r="C25" s="11" t="s">
        <v>366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71</v>
      </c>
      <c r="B26" s="11" t="s">
        <v>73</v>
      </c>
      <c r="C26" s="11" t="s">
        <v>382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77</v>
      </c>
      <c r="B27" s="11" t="s">
        <v>392</v>
      </c>
      <c r="C27" s="11" t="s">
        <v>393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409</v>
      </c>
      <c r="B28" s="11" t="s">
        <v>411</v>
      </c>
      <c r="C28" s="11" t="s">
        <v>413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79</v>
      </c>
      <c r="B29" s="11" t="s">
        <v>428</v>
      </c>
      <c r="C29" s="11" t="s">
        <v>431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451</v>
      </c>
      <c r="B30" s="11" t="s">
        <v>454</v>
      </c>
      <c r="C30" s="11" t="s">
        <v>451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473</v>
      </c>
      <c r="B31" s="11" t="s">
        <v>475</v>
      </c>
      <c r="C31" s="11" t="s">
        <v>477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488</v>
      </c>
      <c r="B32" s="11" t="s">
        <v>82</v>
      </c>
      <c r="C32" s="11" t="s">
        <v>490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497</v>
      </c>
      <c r="B33" s="11" t="s">
        <v>498</v>
      </c>
      <c r="C33" s="11" t="s">
        <v>499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504</v>
      </c>
      <c r="B34" s="11" t="s">
        <v>505</v>
      </c>
      <c r="C34" s="11" t="s">
        <v>507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85</v>
      </c>
      <c r="B35" s="11" t="s">
        <v>87</v>
      </c>
      <c r="C35" s="11" t="s">
        <v>516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" t="s">
        <v>325</v>
      </c>
      <c r="B36" s="11" t="s">
        <v>91</v>
      </c>
      <c r="C36" s="11" t="s">
        <v>526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 t="s">
        <v>534</v>
      </c>
      <c r="B37" s="11" t="s">
        <v>536</v>
      </c>
      <c r="C37" s="11" t="s">
        <v>538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94</v>
      </c>
      <c r="B38" s="11" t="s">
        <v>96</v>
      </c>
      <c r="C38" s="11" t="s">
        <v>540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98</v>
      </c>
      <c r="B39" s="11" t="s">
        <v>99</v>
      </c>
      <c r="C39" s="11" t="s">
        <v>541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 t="s">
        <v>102</v>
      </c>
      <c r="B40" s="11" t="s">
        <v>104</v>
      </c>
      <c r="C40" s="11" t="s">
        <v>542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106</v>
      </c>
      <c r="B41" s="11" t="s">
        <v>107</v>
      </c>
      <c r="C41" s="11" t="s">
        <v>543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109</v>
      </c>
      <c r="B42" s="11" t="s">
        <v>111</v>
      </c>
      <c r="C42" s="11" t="s">
        <v>544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 t="s">
        <v>547</v>
      </c>
      <c r="B43" s="11" t="s">
        <v>114</v>
      </c>
      <c r="C43" s="11" t="s">
        <v>549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117</v>
      </c>
      <c r="B44" s="11" t="s">
        <v>119</v>
      </c>
      <c r="C44" s="11" t="s">
        <v>557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121</v>
      </c>
      <c r="B45" s="11" t="s">
        <v>122</v>
      </c>
      <c r="C45" s="11" t="s">
        <v>565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 t="s">
        <v>566</v>
      </c>
      <c r="B46" s="11" t="s">
        <v>567</v>
      </c>
      <c r="C46" s="11" t="s">
        <v>566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124</v>
      </c>
      <c r="B47" s="11" t="s">
        <v>568</v>
      </c>
      <c r="C47" s="11" t="s">
        <v>569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 t="s">
        <v>570</v>
      </c>
      <c r="B48" s="11" t="s">
        <v>571</v>
      </c>
      <c r="C48" s="11" t="s">
        <v>572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126</v>
      </c>
      <c r="B49" s="11" t="s">
        <v>129</v>
      </c>
      <c r="C49" s="11" t="s">
        <v>573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 t="s">
        <v>132</v>
      </c>
      <c r="B50" s="11" t="s">
        <v>574</v>
      </c>
      <c r="C50" s="11" t="s">
        <v>575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 t="s">
        <v>133</v>
      </c>
      <c r="B51" s="11" t="s">
        <v>135</v>
      </c>
      <c r="C51" s="11" t="s">
        <v>577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136</v>
      </c>
      <c r="B52" s="11" t="s">
        <v>137</v>
      </c>
      <c r="C52" s="11" t="s">
        <v>579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139</v>
      </c>
      <c r="B53" s="11" t="s">
        <v>586</v>
      </c>
      <c r="C53" s="11" t="s">
        <v>139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 t="s">
        <v>140</v>
      </c>
      <c r="B54" s="11" t="s">
        <v>142</v>
      </c>
      <c r="C54" s="11" t="s">
        <v>588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591</v>
      </c>
      <c r="B55" s="11" t="s">
        <v>592</v>
      </c>
      <c r="C55" s="11" t="s">
        <v>593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144</v>
      </c>
      <c r="B56" s="11" t="s">
        <v>145</v>
      </c>
      <c r="C56" s="11" t="s">
        <v>595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147</v>
      </c>
      <c r="B57" s="11" t="s">
        <v>149</v>
      </c>
      <c r="C57" s="11" t="s">
        <v>597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598</v>
      </c>
      <c r="B58" s="11" t="s">
        <v>599</v>
      </c>
      <c r="C58" s="11" t="s">
        <v>598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 t="s">
        <v>152</v>
      </c>
      <c r="B59" s="11" t="s">
        <v>155</v>
      </c>
      <c r="C59" s="11" t="s">
        <v>600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 t="s">
        <v>601</v>
      </c>
      <c r="B60" s="11" t="s">
        <v>602</v>
      </c>
      <c r="C60" s="11" t="s">
        <v>601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 t="s">
        <v>158</v>
      </c>
      <c r="B61" s="11" t="s">
        <v>603</v>
      </c>
      <c r="C61" s="11" t="s">
        <v>604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1" t="s">
        <v>605</v>
      </c>
      <c r="B62" s="11" t="s">
        <v>606</v>
      </c>
      <c r="C62" s="11" t="s">
        <v>605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159</v>
      </c>
      <c r="B63" s="11" t="s">
        <v>160</v>
      </c>
      <c r="C63" s="11" t="s">
        <v>607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 t="s">
        <v>162</v>
      </c>
      <c r="B64" s="11" t="s">
        <v>163</v>
      </c>
      <c r="C64" s="11" t="s">
        <v>608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609</v>
      </c>
      <c r="B65" s="11" t="s">
        <v>610</v>
      </c>
      <c r="C65" s="11" t="s">
        <v>611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1" t="s">
        <v>165</v>
      </c>
      <c r="B66" s="11" t="s">
        <v>169</v>
      </c>
      <c r="C66" s="11" t="s">
        <v>612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171</v>
      </c>
      <c r="B67" s="11" t="s">
        <v>173</v>
      </c>
      <c r="C67" s="11" t="s">
        <v>613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 t="s">
        <v>614</v>
      </c>
      <c r="B68" s="11" t="s">
        <v>615</v>
      </c>
      <c r="C68" s="11" t="s">
        <v>614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 t="s">
        <v>616</v>
      </c>
      <c r="B69" s="11" t="s">
        <v>617</v>
      </c>
      <c r="C69" s="11" t="s">
        <v>618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 t="s">
        <v>177</v>
      </c>
      <c r="B70" s="11" t="s">
        <v>619</v>
      </c>
      <c r="C70" s="11" t="s">
        <v>620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178</v>
      </c>
      <c r="B71" s="11" t="s">
        <v>181</v>
      </c>
      <c r="C71" s="11" t="s">
        <v>178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186</v>
      </c>
      <c r="B72" s="11" t="s">
        <v>188</v>
      </c>
      <c r="C72" s="11" t="s">
        <v>621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191</v>
      </c>
      <c r="B73" s="11" t="s">
        <v>194</v>
      </c>
      <c r="C73" s="11" t="s">
        <v>622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 t="s">
        <v>198</v>
      </c>
      <c r="B74" s="11" t="s">
        <v>202</v>
      </c>
      <c r="C74" s="11" t="s">
        <v>623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 t="s">
        <v>204</v>
      </c>
      <c r="B75" s="11" t="s">
        <v>205</v>
      </c>
      <c r="C75" s="11" t="s">
        <v>624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 t="s">
        <v>625</v>
      </c>
      <c r="B76" s="11" t="s">
        <v>626</v>
      </c>
      <c r="C76" s="11" t="s">
        <v>627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1" t="s">
        <v>628</v>
      </c>
      <c r="B77" s="11" t="s">
        <v>629</v>
      </c>
      <c r="C77" s="11" t="s">
        <v>630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1" t="s">
        <v>208</v>
      </c>
      <c r="B78" s="11" t="s">
        <v>211</v>
      </c>
      <c r="C78" s="11" t="s">
        <v>208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1" t="s">
        <v>215</v>
      </c>
      <c r="B79" s="11" t="s">
        <v>217</v>
      </c>
      <c r="C79" s="11" t="s">
        <v>631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 t="s">
        <v>219</v>
      </c>
      <c r="B80" s="11" t="s">
        <v>221</v>
      </c>
      <c r="C80" s="11" t="s">
        <v>632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1" t="s">
        <v>225</v>
      </c>
      <c r="B81" s="11" t="s">
        <v>633</v>
      </c>
      <c r="C81" s="11" t="s">
        <v>634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 t="s">
        <v>230</v>
      </c>
      <c r="B82" s="11" t="s">
        <v>231</v>
      </c>
      <c r="C82" s="11" t="s">
        <v>635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1" t="s">
        <v>355</v>
      </c>
      <c r="B83" s="11" t="s">
        <v>636</v>
      </c>
      <c r="C83" s="11" t="s">
        <v>355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 t="s">
        <v>233</v>
      </c>
      <c r="B84" s="11" t="s">
        <v>234</v>
      </c>
      <c r="C84" s="11" t="s">
        <v>637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 t="s">
        <v>237</v>
      </c>
      <c r="B85" s="11" t="s">
        <v>239</v>
      </c>
      <c r="C85" s="11" t="s">
        <v>639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241</v>
      </c>
      <c r="B86" s="11" t="s">
        <v>242</v>
      </c>
      <c r="C86" s="11" t="s">
        <v>640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1" t="s">
        <v>641</v>
      </c>
      <c r="B87" s="11" t="s">
        <v>271</v>
      </c>
      <c r="C87" s="11" t="s">
        <v>272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 t="s">
        <v>245</v>
      </c>
      <c r="B88" s="11" t="s">
        <v>246</v>
      </c>
      <c r="C88" s="11" t="s">
        <v>642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 t="s">
        <v>576</v>
      </c>
      <c r="B89" s="11" t="s">
        <v>249</v>
      </c>
      <c r="C89" s="11" t="s">
        <v>643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1" t="s">
        <v>251</v>
      </c>
      <c r="B90" s="11" t="s">
        <v>252</v>
      </c>
      <c r="C90" s="11" t="s">
        <v>644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1" t="s">
        <v>254</v>
      </c>
      <c r="B91" s="11" t="s">
        <v>645</v>
      </c>
      <c r="C91" s="11" t="s">
        <v>646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 t="s">
        <v>647</v>
      </c>
      <c r="B92" s="11" t="s">
        <v>648</v>
      </c>
      <c r="C92" s="11" t="s">
        <v>649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1" t="s">
        <v>650</v>
      </c>
      <c r="B93" s="11" t="s">
        <v>651</v>
      </c>
      <c r="C93" s="11" t="s">
        <v>650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 t="s">
        <v>259</v>
      </c>
      <c r="B94" s="11" t="s">
        <v>652</v>
      </c>
      <c r="C94" s="11" t="s">
        <v>653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1" t="s">
        <v>654</v>
      </c>
      <c r="B95" s="11" t="s">
        <v>655</v>
      </c>
      <c r="C95" s="11" t="s">
        <v>654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1" t="s">
        <v>656</v>
      </c>
      <c r="B96" s="11" t="s">
        <v>657</v>
      </c>
      <c r="C96" s="11" t="s">
        <v>413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1" t="s">
        <v>262</v>
      </c>
      <c r="B97" s="11" t="s">
        <v>263</v>
      </c>
      <c r="C97" s="11" t="s">
        <v>658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1" t="s">
        <v>265</v>
      </c>
      <c r="B98" s="11" t="s">
        <v>267</v>
      </c>
      <c r="C98" s="11" t="s">
        <v>659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 t="s">
        <v>270</v>
      </c>
      <c r="B99" s="11" t="s">
        <v>274</v>
      </c>
      <c r="C99" s="11" t="s">
        <v>660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1" t="s">
        <v>276</v>
      </c>
      <c r="B100" s="11" t="s">
        <v>277</v>
      </c>
      <c r="C100" s="11" t="s">
        <v>661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1" t="s">
        <v>279</v>
      </c>
      <c r="B101" s="11" t="s">
        <v>280</v>
      </c>
      <c r="C101" s="11" t="s">
        <v>662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1" t="s">
        <v>282</v>
      </c>
      <c r="B102" s="11" t="s">
        <v>284</v>
      </c>
      <c r="C102" s="11" t="s">
        <v>663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1" t="s">
        <v>664</v>
      </c>
      <c r="B103" s="11" t="s">
        <v>665</v>
      </c>
      <c r="C103" s="11" t="s">
        <v>666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1" t="s">
        <v>288</v>
      </c>
      <c r="B104" s="11" t="s">
        <v>289</v>
      </c>
      <c r="C104" s="11" t="s">
        <v>667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1" t="s">
        <v>668</v>
      </c>
      <c r="B105" s="11" t="s">
        <v>669</v>
      </c>
      <c r="C105" s="11" t="s">
        <v>668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1" t="s">
        <v>310</v>
      </c>
      <c r="B106" s="11" t="s">
        <v>670</v>
      </c>
      <c r="C106" s="11" t="s">
        <v>310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1" t="s">
        <v>671</v>
      </c>
      <c r="B107" s="11" t="s">
        <v>672</v>
      </c>
      <c r="C107" s="11" t="s">
        <v>673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1" t="s">
        <v>312</v>
      </c>
      <c r="B108" s="11" t="s">
        <v>313</v>
      </c>
      <c r="C108" s="11" t="s">
        <v>674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1" t="s">
        <v>675</v>
      </c>
      <c r="B109" s="11" t="s">
        <v>676</v>
      </c>
      <c r="C109" s="11" t="s">
        <v>675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 t="s">
        <v>677</v>
      </c>
      <c r="B110" s="11" t="s">
        <v>678</v>
      </c>
      <c r="C110" s="11" t="s">
        <v>677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1" t="s">
        <v>315</v>
      </c>
      <c r="B111" s="11" t="s">
        <v>320</v>
      </c>
      <c r="C111" s="11" t="s">
        <v>679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1" t="s">
        <v>680</v>
      </c>
      <c r="B112" s="11" t="s">
        <v>681</v>
      </c>
      <c r="C112" s="11" t="s">
        <v>682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1" t="s">
        <v>322</v>
      </c>
      <c r="B113" s="11" t="s">
        <v>323</v>
      </c>
      <c r="C113" s="11" t="s">
        <v>683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1" t="s">
        <v>326</v>
      </c>
      <c r="B114" s="11" t="s">
        <v>327</v>
      </c>
      <c r="C114" s="11" t="s">
        <v>684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1" t="s">
        <v>578</v>
      </c>
      <c r="B115" s="11" t="s">
        <v>685</v>
      </c>
      <c r="C115" s="11" t="s">
        <v>686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1" t="s">
        <v>386</v>
      </c>
      <c r="B116" s="11" t="s">
        <v>331</v>
      </c>
      <c r="C116" s="11" t="s">
        <v>687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1" t="s">
        <v>688</v>
      </c>
      <c r="B117" s="11" t="s">
        <v>689</v>
      </c>
      <c r="C117" s="11" t="s">
        <v>690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1" t="s">
        <v>691</v>
      </c>
      <c r="B118" s="11" t="s">
        <v>692</v>
      </c>
      <c r="C118" s="11" t="s">
        <v>691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1" t="s">
        <v>693</v>
      </c>
      <c r="B119" s="11" t="s">
        <v>694</v>
      </c>
      <c r="C119" s="11" t="s">
        <v>693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1" t="s">
        <v>695</v>
      </c>
      <c r="B120" s="11" t="s">
        <v>694</v>
      </c>
      <c r="C120" s="11" t="s">
        <v>693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1" t="s">
        <v>335</v>
      </c>
      <c r="B121" s="11" t="s">
        <v>336</v>
      </c>
      <c r="C121" s="11" t="s">
        <v>696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1" t="s">
        <v>341</v>
      </c>
      <c r="B122" s="11" t="s">
        <v>342</v>
      </c>
      <c r="C122" s="11" t="s">
        <v>697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1" t="s">
        <v>344</v>
      </c>
      <c r="B123" s="11" t="s">
        <v>345</v>
      </c>
      <c r="C123" s="11" t="s">
        <v>698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1" t="s">
        <v>699</v>
      </c>
      <c r="B124" s="11" t="s">
        <v>700</v>
      </c>
      <c r="C124" s="11" t="s">
        <v>701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1" t="s">
        <v>702</v>
      </c>
      <c r="B125" s="11" t="s">
        <v>703</v>
      </c>
      <c r="C125" s="11" t="s">
        <v>704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1" t="s">
        <v>705</v>
      </c>
      <c r="B126" s="11" t="s">
        <v>706</v>
      </c>
      <c r="C126" s="11" t="s">
        <v>707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1" t="s">
        <v>708</v>
      </c>
      <c r="B127" s="11" t="s">
        <v>709</v>
      </c>
      <c r="C127" s="11" t="s">
        <v>710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1" t="s">
        <v>349</v>
      </c>
      <c r="B128" s="11" t="s">
        <v>352</v>
      </c>
      <c r="C128" s="11" t="s">
        <v>711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 t="s">
        <v>354</v>
      </c>
      <c r="B129" s="11" t="s">
        <v>356</v>
      </c>
      <c r="C129" s="11" t="s">
        <v>712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" t="s">
        <v>358</v>
      </c>
      <c r="B130" s="11" t="s">
        <v>359</v>
      </c>
      <c r="C130" s="11" t="s">
        <v>713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 t="s">
        <v>361</v>
      </c>
      <c r="B131" s="11" t="s">
        <v>362</v>
      </c>
      <c r="C131" s="11" t="s">
        <v>714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 t="s">
        <v>365</v>
      </c>
      <c r="B132" s="11" t="s">
        <v>367</v>
      </c>
      <c r="C132" s="11" t="s">
        <v>715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580</v>
      </c>
      <c r="B133" s="11" t="s">
        <v>371</v>
      </c>
      <c r="C133" s="11" t="s">
        <v>716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 t="s">
        <v>581</v>
      </c>
      <c r="B134" s="11" t="s">
        <v>374</v>
      </c>
      <c r="C134" s="11" t="s">
        <v>717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582</v>
      </c>
      <c r="B135" s="11" t="s">
        <v>378</v>
      </c>
      <c r="C135" s="11" t="s">
        <v>718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1" t="s">
        <v>583</v>
      </c>
      <c r="B136" s="11" t="s">
        <v>381</v>
      </c>
      <c r="C136" s="11" t="s">
        <v>719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1" t="s">
        <v>584</v>
      </c>
      <c r="B137" s="11" t="s">
        <v>720</v>
      </c>
      <c r="C137" s="11" t="s">
        <v>721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1" t="s">
        <v>722</v>
      </c>
      <c r="B138" s="11" t="s">
        <v>723</v>
      </c>
      <c r="C138" s="11" t="s">
        <v>724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1" t="s">
        <v>725</v>
      </c>
      <c r="B139" s="11" t="s">
        <v>726</v>
      </c>
      <c r="C139" s="11" t="s">
        <v>725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1" t="s">
        <v>727</v>
      </c>
      <c r="B140" s="11" t="s">
        <v>728</v>
      </c>
      <c r="C140" s="11" t="s">
        <v>727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1" t="s">
        <v>384</v>
      </c>
      <c r="B141" s="11" t="s">
        <v>385</v>
      </c>
      <c r="C141" s="11" t="s">
        <v>729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1" t="s">
        <v>585</v>
      </c>
      <c r="B142" s="11" t="s">
        <v>389</v>
      </c>
      <c r="C142" s="11" t="s">
        <v>730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1" t="s">
        <v>391</v>
      </c>
      <c r="B143" s="11" t="s">
        <v>394</v>
      </c>
      <c r="C143" s="11" t="s">
        <v>731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1" t="s">
        <v>732</v>
      </c>
      <c r="B144" s="11" t="s">
        <v>733</v>
      </c>
      <c r="C144" s="11" t="s">
        <v>734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1" t="s">
        <v>396</v>
      </c>
      <c r="B145" s="11" t="s">
        <v>397</v>
      </c>
      <c r="C145" s="11" t="s">
        <v>735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 t="s">
        <v>399</v>
      </c>
      <c r="B146" s="11" t="s">
        <v>401</v>
      </c>
      <c r="C146" s="11" t="s">
        <v>736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 t="s">
        <v>737</v>
      </c>
      <c r="B147" s="11" t="s">
        <v>738</v>
      </c>
      <c r="C147" s="11" t="s">
        <v>739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1" t="s">
        <v>740</v>
      </c>
      <c r="B148" s="11" t="s">
        <v>741</v>
      </c>
      <c r="C148" s="11" t="s">
        <v>740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 t="s">
        <v>742</v>
      </c>
      <c r="B149" s="11" t="s">
        <v>743</v>
      </c>
      <c r="C149" s="11" t="s">
        <v>744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1" t="s">
        <v>403</v>
      </c>
      <c r="B150" s="11" t="s">
        <v>99</v>
      </c>
      <c r="C150" s="11" t="s">
        <v>541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406</v>
      </c>
      <c r="B151" s="11" t="s">
        <v>745</v>
      </c>
      <c r="C151" s="11" t="s">
        <v>406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1" t="s">
        <v>746</v>
      </c>
      <c r="B152" s="11" t="s">
        <v>747</v>
      </c>
      <c r="C152" s="11" t="s">
        <v>748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1" t="s">
        <v>749</v>
      </c>
      <c r="B153" s="11" t="s">
        <v>750</v>
      </c>
      <c r="C153" s="11" t="s">
        <v>751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1" t="s">
        <v>752</v>
      </c>
      <c r="B154" s="11" t="s">
        <v>753</v>
      </c>
      <c r="C154" s="11" t="s">
        <v>754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408</v>
      </c>
      <c r="B155" s="11" t="s">
        <v>410</v>
      </c>
      <c r="C155" s="11" t="s">
        <v>755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 t="s">
        <v>414</v>
      </c>
      <c r="B156" s="11" t="s">
        <v>415</v>
      </c>
      <c r="C156" s="11" t="s">
        <v>756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1" t="s">
        <v>417</v>
      </c>
      <c r="B157" s="11" t="s">
        <v>757</v>
      </c>
      <c r="C157" s="11" t="s">
        <v>758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759</v>
      </c>
      <c r="B158" s="11" t="s">
        <v>760</v>
      </c>
      <c r="C158" s="11" t="s">
        <v>761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1" t="s">
        <v>587</v>
      </c>
      <c r="B159" s="11" t="s">
        <v>762</v>
      </c>
      <c r="C159" s="11" t="s">
        <v>587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1" t="s">
        <v>763</v>
      </c>
      <c r="B160" s="11" t="s">
        <v>764</v>
      </c>
      <c r="C160" s="11" t="s">
        <v>765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1" t="s">
        <v>766</v>
      </c>
      <c r="B161" s="11" t="s">
        <v>767</v>
      </c>
      <c r="C161" s="11" t="s">
        <v>768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1" t="s">
        <v>420</v>
      </c>
      <c r="B162" s="11" t="s">
        <v>421</v>
      </c>
      <c r="C162" s="11" t="s">
        <v>420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 t="s">
        <v>423</v>
      </c>
      <c r="B163" s="11" t="s">
        <v>424</v>
      </c>
      <c r="C163" s="11" t="s">
        <v>769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1" t="s">
        <v>770</v>
      </c>
      <c r="B164" s="11" t="s">
        <v>771</v>
      </c>
      <c r="C164" s="11" t="s">
        <v>772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1" t="s">
        <v>426</v>
      </c>
      <c r="B165" s="11" t="s">
        <v>429</v>
      </c>
      <c r="C165" s="11" t="s">
        <v>773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1" t="s">
        <v>774</v>
      </c>
      <c r="B166" s="11" t="s">
        <v>775</v>
      </c>
      <c r="C166" s="11" t="s">
        <v>776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1" t="s">
        <v>777</v>
      </c>
      <c r="B167" s="11" t="s">
        <v>778</v>
      </c>
      <c r="C167" s="11" t="s">
        <v>779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1" t="s">
        <v>780</v>
      </c>
      <c r="B168" s="11" t="s">
        <v>781</v>
      </c>
      <c r="C168" s="11" t="s">
        <v>780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1" t="s">
        <v>432</v>
      </c>
      <c r="B169" s="11" t="s">
        <v>433</v>
      </c>
      <c r="C169" s="11" t="s">
        <v>782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1" t="s">
        <v>434</v>
      </c>
      <c r="B170" s="11" t="s">
        <v>437</v>
      </c>
      <c r="C170" s="11" t="s">
        <v>783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1" t="s">
        <v>440</v>
      </c>
      <c r="B171" s="11" t="s">
        <v>443</v>
      </c>
      <c r="C171" s="11" t="s">
        <v>440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1" t="s">
        <v>436</v>
      </c>
      <c r="B172" s="11" t="s">
        <v>448</v>
      </c>
      <c r="C172" s="11" t="s">
        <v>784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1" t="s">
        <v>438</v>
      </c>
      <c r="B173" s="11" t="s">
        <v>450</v>
      </c>
      <c r="C173" s="11" t="s">
        <v>785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1" t="s">
        <v>786</v>
      </c>
      <c r="B174" s="11" t="s">
        <v>787</v>
      </c>
      <c r="C174" s="11" t="s">
        <v>788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1" t="s">
        <v>789</v>
      </c>
      <c r="B175" s="11" t="s">
        <v>790</v>
      </c>
      <c r="C175" s="11" t="s">
        <v>789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1" t="s">
        <v>791</v>
      </c>
      <c r="B176" s="11" t="s">
        <v>792</v>
      </c>
      <c r="C176" s="11" t="s">
        <v>793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1" t="s">
        <v>794</v>
      </c>
      <c r="B177" s="11" t="s">
        <v>795</v>
      </c>
      <c r="C177" s="11" t="s">
        <v>796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1" t="s">
        <v>797</v>
      </c>
      <c r="B178" s="11" t="s">
        <v>798</v>
      </c>
      <c r="C178" s="11" t="s">
        <v>797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1" t="s">
        <v>799</v>
      </c>
      <c r="B179" s="11" t="s">
        <v>800</v>
      </c>
      <c r="C179" s="11" t="s">
        <v>799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1" t="s">
        <v>455</v>
      </c>
      <c r="B180" s="11" t="s">
        <v>458</v>
      </c>
      <c r="C180" s="11" t="s">
        <v>455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1" t="s">
        <v>801</v>
      </c>
      <c r="B181" s="11" t="s">
        <v>802</v>
      </c>
      <c r="C181" s="11" t="s">
        <v>803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 t="s">
        <v>589</v>
      </c>
      <c r="B182" s="11" t="s">
        <v>804</v>
      </c>
      <c r="C182" s="11" t="s">
        <v>589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 t="s">
        <v>441</v>
      </c>
      <c r="B183" s="11" t="s">
        <v>467</v>
      </c>
      <c r="C183" s="11" t="s">
        <v>805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1" t="s">
        <v>445</v>
      </c>
      <c r="B184" s="11" t="s">
        <v>471</v>
      </c>
      <c r="C184" s="11" t="s">
        <v>806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1" t="s">
        <v>446</v>
      </c>
      <c r="B185" s="11" t="s">
        <v>481</v>
      </c>
      <c r="C185" s="11" t="s">
        <v>446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1" t="s">
        <v>453</v>
      </c>
      <c r="B186" s="11" t="s">
        <v>483</v>
      </c>
      <c r="C186" s="11" t="s">
        <v>807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1" t="s">
        <v>808</v>
      </c>
      <c r="B187" s="11" t="s">
        <v>809</v>
      </c>
      <c r="C187" s="11" t="s">
        <v>810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1" t="s">
        <v>590</v>
      </c>
      <c r="B188" s="11" t="s">
        <v>811</v>
      </c>
      <c r="C188" s="11" t="s">
        <v>590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1" t="s">
        <v>812</v>
      </c>
      <c r="B189" s="11" t="s">
        <v>813</v>
      </c>
      <c r="C189" s="11" t="s">
        <v>812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1" t="s">
        <v>456</v>
      </c>
      <c r="B190" s="11" t="s">
        <v>486</v>
      </c>
      <c r="C190" s="11" t="s">
        <v>456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1" t="s">
        <v>459</v>
      </c>
      <c r="B191" s="11" t="s">
        <v>512</v>
      </c>
      <c r="C191" s="11" t="s">
        <v>814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1" t="s">
        <v>815</v>
      </c>
      <c r="B192" s="11" t="s">
        <v>816</v>
      </c>
      <c r="C192" s="11" t="s">
        <v>815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1" t="s">
        <v>817</v>
      </c>
      <c r="B193" s="11" t="s">
        <v>818</v>
      </c>
      <c r="C193" s="11" t="s">
        <v>817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1" t="s">
        <v>819</v>
      </c>
      <c r="B194" s="11" t="s">
        <v>820</v>
      </c>
      <c r="C194" s="11" t="s">
        <v>821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1" t="s">
        <v>461</v>
      </c>
      <c r="B195" s="11" t="s">
        <v>514</v>
      </c>
      <c r="C195" s="11" t="s">
        <v>822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1" t="s">
        <v>463</v>
      </c>
      <c r="B196" s="11" t="s">
        <v>517</v>
      </c>
      <c r="C196" s="11" t="s">
        <v>823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1" t="s">
        <v>824</v>
      </c>
      <c r="B197" s="11" t="s">
        <v>825</v>
      </c>
      <c r="C197" s="11" t="s">
        <v>826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1" t="s">
        <v>464</v>
      </c>
      <c r="B198" s="11" t="s">
        <v>519</v>
      </c>
      <c r="C198" s="11" t="s">
        <v>827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1" t="s">
        <v>828</v>
      </c>
      <c r="B199" s="11" t="s">
        <v>829</v>
      </c>
      <c r="C199" s="11" t="s">
        <v>830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1" t="s">
        <v>466</v>
      </c>
      <c r="B200" s="11" t="s">
        <v>521</v>
      </c>
      <c r="C200" s="11" t="s">
        <v>831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1" t="s">
        <v>469</v>
      </c>
      <c r="B201" s="11" t="s">
        <v>523</v>
      </c>
      <c r="C201" s="11" t="s">
        <v>832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1" t="s">
        <v>525</v>
      </c>
      <c r="B202" s="11" t="s">
        <v>833</v>
      </c>
      <c r="C202" s="11" t="s">
        <v>834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 t="s">
        <v>835</v>
      </c>
      <c r="B203" s="11" t="s">
        <v>836</v>
      </c>
      <c r="C203" s="11" t="s">
        <v>837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1" t="s">
        <v>594</v>
      </c>
      <c r="B204" s="11" t="s">
        <v>527</v>
      </c>
      <c r="C204" s="11" t="s">
        <v>838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1" t="s">
        <v>529</v>
      </c>
      <c r="B205" s="11" t="s">
        <v>839</v>
      </c>
      <c r="C205" s="11" t="s">
        <v>840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1" t="s">
        <v>596</v>
      </c>
      <c r="B206" s="11" t="s">
        <v>530</v>
      </c>
      <c r="C206" s="11" t="s">
        <v>841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1" t="s">
        <v>476</v>
      </c>
      <c r="B207" s="11" t="s">
        <v>532</v>
      </c>
      <c r="C207" s="11" t="s">
        <v>842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1" t="s">
        <v>478</v>
      </c>
      <c r="B208" s="11" t="s">
        <v>535</v>
      </c>
      <c r="C208" s="11" t="s">
        <v>843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1" t="s">
        <v>480</v>
      </c>
      <c r="B209" s="11" t="s">
        <v>352</v>
      </c>
      <c r="C209" s="11" t="s">
        <v>711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3" t="s">
        <v>844</v>
      </c>
      <c r="B210" s="11" t="s">
        <v>845</v>
      </c>
      <c r="C210" s="11" t="s">
        <v>846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3" t="s">
        <v>847</v>
      </c>
      <c r="B211" s="11" t="s">
        <v>848</v>
      </c>
      <c r="C211" s="11" t="s">
        <v>849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3" t="s">
        <v>850</v>
      </c>
      <c r="B212" s="11" t="s">
        <v>851</v>
      </c>
      <c r="C212" s="11" t="s">
        <v>852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3" t="s">
        <v>853</v>
      </c>
      <c r="B213" s="11" t="s">
        <v>854</v>
      </c>
      <c r="C213" s="11" t="s">
        <v>855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3" t="s">
        <v>856</v>
      </c>
      <c r="B214" s="11" t="s">
        <v>857</v>
      </c>
      <c r="C214" s="11" t="s">
        <v>858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3" t="s">
        <v>859</v>
      </c>
      <c r="B215" s="11" t="s">
        <v>860</v>
      </c>
      <c r="C215" s="11" t="s">
        <v>861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3" t="s">
        <v>862</v>
      </c>
      <c r="B216" s="11" t="s">
        <v>863</v>
      </c>
      <c r="C216" s="11" t="s">
        <v>864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3" t="s">
        <v>865</v>
      </c>
      <c r="B217" s="11" t="s">
        <v>866</v>
      </c>
      <c r="C217" s="11" t="s">
        <v>867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3" t="s">
        <v>868</v>
      </c>
      <c r="B218" s="11" t="s">
        <v>869</v>
      </c>
      <c r="C218" s="11" t="s">
        <v>870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1" t="s">
        <v>871</v>
      </c>
      <c r="B219" s="11" t="s">
        <v>872</v>
      </c>
      <c r="C219" s="11" t="s">
        <v>873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3" t="s">
        <v>874</v>
      </c>
      <c r="B220" s="11" t="s">
        <v>875</v>
      </c>
      <c r="C220" s="11" t="s">
        <v>876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3" t="s">
        <v>877</v>
      </c>
      <c r="B221" s="11" t="s">
        <v>878</v>
      </c>
      <c r="C221" s="11" t="s">
        <v>879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3" t="s">
        <v>880</v>
      </c>
      <c r="B222" s="11" t="s">
        <v>881</v>
      </c>
      <c r="C222" s="11" t="s">
        <v>882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3" t="s">
        <v>883</v>
      </c>
      <c r="B223" s="11" t="s">
        <v>884</v>
      </c>
      <c r="C223" s="11" t="s">
        <v>885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3" t="s">
        <v>886</v>
      </c>
      <c r="B224" s="11" t="s">
        <v>887</v>
      </c>
      <c r="C224" s="11" t="s">
        <v>888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3" t="s">
        <v>889</v>
      </c>
      <c r="B225" s="11" t="s">
        <v>890</v>
      </c>
      <c r="C225" s="11" t="s">
        <v>891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3" t="s">
        <v>892</v>
      </c>
      <c r="B226" s="11" t="s">
        <v>893</v>
      </c>
      <c r="C226" s="11" t="s">
        <v>894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3" t="s">
        <v>895</v>
      </c>
      <c r="B227" s="11" t="s">
        <v>896</v>
      </c>
      <c r="C227" s="11" t="s">
        <v>897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3" t="s">
        <v>898</v>
      </c>
      <c r="B228" s="11" t="s">
        <v>899</v>
      </c>
      <c r="C228" s="11" t="s">
        <v>900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1"/>
      <c r="B229" s="11" t="s">
        <v>901</v>
      </c>
      <c r="C229" s="11" t="s">
        <v>902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3" t="s">
        <v>903</v>
      </c>
      <c r="B230" s="11" t="s">
        <v>904</v>
      </c>
      <c r="C230" s="11" t="s">
        <v>905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3" t="s">
        <v>906</v>
      </c>
      <c r="B231" s="11" t="s">
        <v>907</v>
      </c>
      <c r="C231" s="11" t="s">
        <v>906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1"/>
      <c r="B232" s="11" t="s">
        <v>908</v>
      </c>
      <c r="C232" s="11" t="s">
        <v>909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3" t="s">
        <v>910</v>
      </c>
      <c r="B233" s="11" t="s">
        <v>911</v>
      </c>
      <c r="C233" s="11" t="s">
        <v>910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3" t="s">
        <v>912</v>
      </c>
      <c r="B234" s="11" t="s">
        <v>913</v>
      </c>
      <c r="C234" s="11" t="s">
        <v>914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3" t="s">
        <v>915</v>
      </c>
      <c r="B235" s="11" t="s">
        <v>916</v>
      </c>
      <c r="C235" s="11" t="s">
        <v>917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3" t="s">
        <v>918</v>
      </c>
      <c r="B236" s="11" t="s">
        <v>919</v>
      </c>
      <c r="C236" s="11" t="s">
        <v>920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3" t="s">
        <v>921</v>
      </c>
      <c r="B237" s="11" t="s">
        <v>922</v>
      </c>
      <c r="C237" s="11" t="s">
        <v>923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1" t="s">
        <v>924</v>
      </c>
      <c r="B238" s="11" t="s">
        <v>925</v>
      </c>
      <c r="C238" s="11" t="s">
        <v>924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3" t="s">
        <v>926</v>
      </c>
      <c r="B239" s="11" t="s">
        <v>927</v>
      </c>
      <c r="C239" s="11" t="s">
        <v>928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 t="s">
        <v>929</v>
      </c>
      <c r="B240" s="11" t="s">
        <v>930</v>
      </c>
      <c r="C240" s="11" t="s">
        <v>929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1" t="s">
        <v>931</v>
      </c>
      <c r="B241" s="11" t="s">
        <v>932</v>
      </c>
      <c r="C241" s="11" t="s">
        <v>931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 t="s">
        <v>197</v>
      </c>
      <c r="B242" s="11" t="s">
        <v>195</v>
      </c>
      <c r="C242" s="11" t="s">
        <v>197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1" t="s">
        <v>933</v>
      </c>
      <c r="B243" s="11" t="s">
        <v>787</v>
      </c>
      <c r="C243" s="11" t="s">
        <v>933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1" t="s">
        <v>934</v>
      </c>
      <c r="B244" s="11" t="s">
        <v>935</v>
      </c>
      <c r="C244" s="11" t="s">
        <v>934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1" t="s">
        <v>936</v>
      </c>
      <c r="B245" s="11" t="s">
        <v>937</v>
      </c>
      <c r="C245" s="11" t="s">
        <v>936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1" t="s">
        <v>938</v>
      </c>
      <c r="B246" s="11" t="s">
        <v>939</v>
      </c>
      <c r="C246" s="11" t="s">
        <v>938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1" t="s">
        <v>940</v>
      </c>
      <c r="B247" s="11" t="s">
        <v>941</v>
      </c>
      <c r="C247" s="11" t="s">
        <v>940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1" t="s">
        <v>942</v>
      </c>
      <c r="B248" s="11" t="s">
        <v>943</v>
      </c>
      <c r="C248" s="11" t="s">
        <v>942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1" t="s">
        <v>944</v>
      </c>
      <c r="B249" s="11" t="s">
        <v>945</v>
      </c>
      <c r="C249" s="11" t="s">
        <v>944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1" t="s">
        <v>946</v>
      </c>
      <c r="B250" s="11" t="s">
        <v>947</v>
      </c>
      <c r="C250" s="11" t="s">
        <v>946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1" t="s">
        <v>948</v>
      </c>
      <c r="B251" s="11" t="s">
        <v>949</v>
      </c>
      <c r="C251" s="11" t="s">
        <v>948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1" t="s">
        <v>950</v>
      </c>
      <c r="B252" s="11" t="s">
        <v>951</v>
      </c>
      <c r="C252" s="11" t="s">
        <v>950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1" t="s">
        <v>952</v>
      </c>
      <c r="B253" s="11" t="s">
        <v>953</v>
      </c>
      <c r="C253" s="11" t="s">
        <v>952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1" t="s">
        <v>954</v>
      </c>
      <c r="B254" s="11" t="s">
        <v>955</v>
      </c>
      <c r="C254" s="11" t="s">
        <v>954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1" t="s">
        <v>956</v>
      </c>
      <c r="B255" s="11" t="s">
        <v>957</v>
      </c>
      <c r="C255" s="11" t="s">
        <v>956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1" t="s">
        <v>958</v>
      </c>
      <c r="B256" s="11" t="s">
        <v>959</v>
      </c>
      <c r="C256" s="11" t="s">
        <v>958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1" t="s">
        <v>960</v>
      </c>
      <c r="B257" s="11" t="s">
        <v>961</v>
      </c>
      <c r="C257" s="11" t="s">
        <v>960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1" t="s">
        <v>962</v>
      </c>
      <c r="B258" s="11" t="s">
        <v>963</v>
      </c>
      <c r="C258" s="11" t="s">
        <v>962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1" t="s">
        <v>964</v>
      </c>
      <c r="B259" s="11" t="s">
        <v>965</v>
      </c>
      <c r="C259" s="11" t="s">
        <v>964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1" t="s">
        <v>966</v>
      </c>
      <c r="B260" s="11" t="s">
        <v>967</v>
      </c>
      <c r="C260" s="11" t="s">
        <v>966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1" t="s">
        <v>968</v>
      </c>
      <c r="B261" s="11" t="s">
        <v>969</v>
      </c>
      <c r="C261" s="11" t="s">
        <v>968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1" t="s">
        <v>727</v>
      </c>
      <c r="B262" s="11" t="s">
        <v>728</v>
      </c>
      <c r="C262" s="11" t="s">
        <v>727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1" t="s">
        <v>228</v>
      </c>
      <c r="B263" s="11" t="s">
        <v>970</v>
      </c>
      <c r="C263" s="11" t="s">
        <v>228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1" t="s">
        <v>971</v>
      </c>
      <c r="B264" s="11" t="s">
        <v>972</v>
      </c>
      <c r="C264" s="11" t="s">
        <v>971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1" t="s">
        <v>973</v>
      </c>
      <c r="B265" s="11" t="s">
        <v>974</v>
      </c>
      <c r="C265" s="11" t="s">
        <v>973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1" t="s">
        <v>975</v>
      </c>
      <c r="B266" s="11" t="s">
        <v>976</v>
      </c>
      <c r="C266" s="11" t="s">
        <v>975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1" t="s">
        <v>977</v>
      </c>
      <c r="B267" s="11" t="s">
        <v>978</v>
      </c>
      <c r="C267" s="11" t="s">
        <v>977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1" t="s">
        <v>979</v>
      </c>
      <c r="B268" s="11" t="s">
        <v>980</v>
      </c>
      <c r="C268" s="11" t="s">
        <v>979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1" t="s">
        <v>981</v>
      </c>
      <c r="B269" s="11" t="s">
        <v>982</v>
      </c>
      <c r="C269" s="11" t="s">
        <v>983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1" t="s">
        <v>984</v>
      </c>
      <c r="B270" s="11" t="s">
        <v>985</v>
      </c>
      <c r="C270" s="13" t="s">
        <v>986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1" t="s">
        <v>987</v>
      </c>
      <c r="B271" s="11" t="s">
        <v>988</v>
      </c>
      <c r="C271" s="5" t="s">
        <v>989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1" t="s">
        <v>990</v>
      </c>
      <c r="B272" s="11" t="s">
        <v>991</v>
      </c>
      <c r="C272" s="13" t="s">
        <v>992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1" t="s">
        <v>993</v>
      </c>
      <c r="B273" s="11" t="s">
        <v>994</v>
      </c>
      <c r="C273" s="13" t="s">
        <v>995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1" t="s">
        <v>996</v>
      </c>
      <c r="B274" s="11" t="s">
        <v>997</v>
      </c>
      <c r="C274" s="13" t="s">
        <v>998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1" t="s">
        <v>999</v>
      </c>
      <c r="B275" s="11" t="s">
        <v>1000</v>
      </c>
      <c r="C275" s="5" t="s">
        <v>1001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1" t="s">
        <v>1002</v>
      </c>
      <c r="B276" s="11" t="s">
        <v>1003</v>
      </c>
      <c r="C276" s="13" t="s">
        <v>1004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3" t="s">
        <v>1005</v>
      </c>
      <c r="B277" s="11" t="s">
        <v>1006</v>
      </c>
      <c r="C277" s="11" t="s">
        <v>1007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1" t="s">
        <v>1008</v>
      </c>
      <c r="B278" s="11" t="s">
        <v>1009</v>
      </c>
      <c r="C278" s="11" t="s">
        <v>1008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1" t="s">
        <v>1010</v>
      </c>
      <c r="B279" s="11" t="s">
        <v>1011</v>
      </c>
      <c r="C279" s="11" t="s">
        <v>1010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1" t="s">
        <v>1012</v>
      </c>
      <c r="B280" s="11" t="s">
        <v>1013</v>
      </c>
      <c r="C280" s="13" t="s">
        <v>1014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1" t="s">
        <v>1015</v>
      </c>
      <c r="B281" s="11" t="s">
        <v>1016</v>
      </c>
      <c r="C281" s="11" t="s">
        <v>1017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1" t="s">
        <v>1018</v>
      </c>
      <c r="B282" s="11" t="s">
        <v>1019</v>
      </c>
      <c r="C282" s="11" t="s">
        <v>1020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1" t="s">
        <v>1021</v>
      </c>
      <c r="B283" s="11" t="s">
        <v>1022</v>
      </c>
      <c r="C283" s="11" t="s">
        <v>1023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1" t="s">
        <v>1024</v>
      </c>
      <c r="B284" s="11" t="s">
        <v>1025</v>
      </c>
      <c r="C284" s="11" t="s">
        <v>1024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1" t="s">
        <v>1026</v>
      </c>
      <c r="B285" s="11" t="s">
        <v>1027</v>
      </c>
      <c r="C285" s="11" t="s">
        <v>1028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2" t="s">
        <v>1029</v>
      </c>
      <c r="B286" s="11" t="s">
        <v>255</v>
      </c>
      <c r="C286" s="22" t="s">
        <v>1030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3" t="s">
        <v>1031</v>
      </c>
      <c r="B287" s="23" t="s">
        <v>1032</v>
      </c>
      <c r="C287" s="23" t="s">
        <v>1033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3" t="s">
        <v>1034</v>
      </c>
      <c r="B288" s="23" t="s">
        <v>1035</v>
      </c>
      <c r="C288" s="23" t="s">
        <v>1036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3" t="s">
        <v>1037</v>
      </c>
      <c r="B289" s="23" t="s">
        <v>1009</v>
      </c>
      <c r="C289" s="11" t="s">
        <v>1008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3" t="s">
        <v>1038</v>
      </c>
      <c r="B290" s="23" t="s">
        <v>1009</v>
      </c>
      <c r="C290" s="11" t="s">
        <v>1008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3" t="s">
        <v>1039</v>
      </c>
      <c r="B291" s="23" t="s">
        <v>1040</v>
      </c>
      <c r="C291" s="23" t="s">
        <v>1041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3" t="s">
        <v>861</v>
      </c>
      <c r="B292" s="23" t="s">
        <v>860</v>
      </c>
      <c r="C292" s="23" t="s">
        <v>861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3" t="s">
        <v>1042</v>
      </c>
      <c r="B293" s="23" t="s">
        <v>1043</v>
      </c>
      <c r="C293" s="23" t="s">
        <v>1044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3" t="s">
        <v>1045</v>
      </c>
      <c r="B294" s="23" t="s">
        <v>1046</v>
      </c>
      <c r="C294" s="23" t="s">
        <v>1047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3" t="s">
        <v>1048</v>
      </c>
      <c r="B295" s="23" t="s">
        <v>1049</v>
      </c>
      <c r="C295" s="23" t="s">
        <v>1050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3" t="s">
        <v>1051</v>
      </c>
      <c r="B296" s="23" t="s">
        <v>1052</v>
      </c>
      <c r="C296" s="23" t="s">
        <v>1053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3" t="s">
        <v>1054</v>
      </c>
      <c r="B297" s="23" t="s">
        <v>1055</v>
      </c>
      <c r="C297" s="23" t="s">
        <v>1056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3" t="s">
        <v>1057</v>
      </c>
      <c r="B298" s="23" t="s">
        <v>1058</v>
      </c>
      <c r="C298" s="23" t="s">
        <v>413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3" t="s">
        <v>1059</v>
      </c>
      <c r="B299" s="23" t="s">
        <v>1060</v>
      </c>
      <c r="C299" s="23" t="s">
        <v>1061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3" t="s">
        <v>1062</v>
      </c>
      <c r="B300" s="23" t="s">
        <v>1063</v>
      </c>
      <c r="C300" s="23" t="s">
        <v>1064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3" t="s">
        <v>1065</v>
      </c>
      <c r="B301" s="23" t="s">
        <v>1066</v>
      </c>
      <c r="C301" s="23" t="s">
        <v>1067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3" t="s">
        <v>1068</v>
      </c>
      <c r="B302" s="23" t="s">
        <v>1069</v>
      </c>
      <c r="C302" s="23" t="s">
        <v>1070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3" t="s">
        <v>1071</v>
      </c>
      <c r="B303" s="23" t="s">
        <v>1072</v>
      </c>
      <c r="C303" s="23" t="s">
        <v>1073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3" t="s">
        <v>1074</v>
      </c>
      <c r="B304" s="23" t="s">
        <v>1075</v>
      </c>
      <c r="C304" s="23" t="s">
        <v>1076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3" t="s">
        <v>158</v>
      </c>
      <c r="B305" s="23" t="s">
        <v>1077</v>
      </c>
      <c r="C305" s="23" t="s">
        <v>1078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3" t="s">
        <v>1079</v>
      </c>
      <c r="B306" s="23" t="s">
        <v>1080</v>
      </c>
      <c r="C306" s="23" t="s">
        <v>1081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3" t="s">
        <v>1082</v>
      </c>
      <c r="B307" s="23" t="s">
        <v>1083</v>
      </c>
      <c r="C307" s="23" t="s">
        <v>1084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3" t="s">
        <v>1085</v>
      </c>
      <c r="B308" s="23" t="s">
        <v>1086</v>
      </c>
      <c r="C308" s="23" t="s">
        <v>1087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3" t="s">
        <v>885</v>
      </c>
      <c r="B309" s="11" t="s">
        <v>884</v>
      </c>
      <c r="C309" s="11" t="s">
        <v>885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12" t="s">
        <v>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5"/>
      <c r="T1" s="16"/>
      <c r="U1" s="16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>
      <c r="A2" s="14" t="s">
        <v>125</v>
      </c>
      <c r="B2" s="14" t="s">
        <v>127</v>
      </c>
      <c r="S2" s="15"/>
      <c r="T2" s="16"/>
      <c r="U2" s="16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>
      <c r="B3" s="18" t="s">
        <v>27</v>
      </c>
      <c r="D3" s="18" t="s">
        <v>39</v>
      </c>
      <c r="F3" s="18" t="s">
        <v>50</v>
      </c>
      <c r="H3" s="18" t="s">
        <v>60</v>
      </c>
      <c r="J3" s="18" t="s">
        <v>66</v>
      </c>
      <c r="L3" s="18" t="s">
        <v>70</v>
      </c>
      <c r="N3" s="18" t="s">
        <v>78</v>
      </c>
      <c r="P3" s="18" t="s">
        <v>84</v>
      </c>
      <c r="R3" s="18" t="s">
        <v>92</v>
      </c>
      <c r="T3" s="19" t="s">
        <v>185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>
      <c r="B4" s="14" t="s">
        <v>199</v>
      </c>
      <c r="C4" s="14" t="s">
        <v>200</v>
      </c>
      <c r="D4" s="14" t="s">
        <v>199</v>
      </c>
      <c r="E4" s="14" t="s">
        <v>200</v>
      </c>
      <c r="F4" s="14" t="s">
        <v>199</v>
      </c>
      <c r="G4" s="14" t="s">
        <v>200</v>
      </c>
      <c r="H4" s="14" t="s">
        <v>199</v>
      </c>
      <c r="I4" s="14" t="s">
        <v>200</v>
      </c>
      <c r="J4" s="14" t="s">
        <v>199</v>
      </c>
      <c r="K4" s="14" t="s">
        <v>200</v>
      </c>
      <c r="L4" s="14" t="s">
        <v>199</v>
      </c>
      <c r="M4" s="14" t="s">
        <v>200</v>
      </c>
      <c r="N4" s="14" t="s">
        <v>199</v>
      </c>
      <c r="O4" s="14" t="s">
        <v>200</v>
      </c>
      <c r="P4" s="14" t="s">
        <v>199</v>
      </c>
      <c r="Q4" s="14" t="s">
        <v>200</v>
      </c>
      <c r="R4" s="14" t="s">
        <v>199</v>
      </c>
      <c r="S4" s="14" t="s">
        <v>200</v>
      </c>
      <c r="T4" s="19" t="s">
        <v>199</v>
      </c>
      <c r="U4" s="19" t="s">
        <v>200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>
      <c r="A5" s="20" t="s">
        <v>18</v>
      </c>
      <c r="B5" s="20" t="s">
        <v>236</v>
      </c>
      <c r="C5" s="20" t="s">
        <v>236</v>
      </c>
      <c r="D5" s="20">
        <v>1.0</v>
      </c>
      <c r="E5" s="20">
        <v>2720.0</v>
      </c>
      <c r="F5" s="20" t="s">
        <v>236</v>
      </c>
      <c r="G5" s="20" t="s">
        <v>236</v>
      </c>
      <c r="H5" s="20" t="s">
        <v>236</v>
      </c>
      <c r="I5" s="20" t="s">
        <v>236</v>
      </c>
      <c r="J5" s="20" t="s">
        <v>236</v>
      </c>
      <c r="K5" s="20" t="s">
        <v>236</v>
      </c>
      <c r="L5" s="20" t="s">
        <v>236</v>
      </c>
      <c r="M5" s="20" t="s">
        <v>236</v>
      </c>
      <c r="N5" s="20" t="s">
        <v>236</v>
      </c>
      <c r="O5" s="20" t="s">
        <v>236</v>
      </c>
      <c r="P5" s="20">
        <v>1.0</v>
      </c>
      <c r="Q5" s="20">
        <v>376.0</v>
      </c>
      <c r="R5" s="20" t="s">
        <v>236</v>
      </c>
      <c r="S5" s="20"/>
      <c r="T5" s="16">
        <f t="shared" ref="T5:U5" si="1">sum(B5,D5,F5,H5,J5,L5,N5,P5,R5)</f>
        <v>2</v>
      </c>
      <c r="U5" s="16">
        <f t="shared" si="1"/>
        <v>3096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>
      <c r="A6" s="20" t="s">
        <v>31</v>
      </c>
      <c r="B6" s="20" t="s">
        <v>236</v>
      </c>
      <c r="C6" s="20" t="s">
        <v>236</v>
      </c>
      <c r="D6" s="20" t="s">
        <v>236</v>
      </c>
      <c r="E6" s="20" t="s">
        <v>236</v>
      </c>
      <c r="F6" s="20">
        <v>4.0</v>
      </c>
      <c r="G6" s="20">
        <v>5488.0</v>
      </c>
      <c r="H6" s="20" t="s">
        <v>236</v>
      </c>
      <c r="I6" s="20" t="s">
        <v>236</v>
      </c>
      <c r="J6" s="20">
        <v>3.0</v>
      </c>
      <c r="K6" s="20">
        <v>14252.0</v>
      </c>
      <c r="L6" s="20" t="s">
        <v>236</v>
      </c>
      <c r="M6" s="20" t="s">
        <v>236</v>
      </c>
      <c r="N6" s="20" t="s">
        <v>236</v>
      </c>
      <c r="O6" s="20" t="s">
        <v>236</v>
      </c>
      <c r="P6" s="20" t="s">
        <v>236</v>
      </c>
      <c r="Q6" s="20" t="s">
        <v>236</v>
      </c>
      <c r="R6" s="20" t="s">
        <v>236</v>
      </c>
      <c r="S6" s="20"/>
      <c r="T6" s="16">
        <f t="shared" ref="T6:U6" si="2">sum(B6,D6,F6,H6,J6,L6,N6,P6,R6)</f>
        <v>7</v>
      </c>
      <c r="U6" s="16">
        <f t="shared" si="2"/>
        <v>19740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>
      <c r="A7" s="20" t="s">
        <v>55</v>
      </c>
      <c r="B7" s="20" t="s">
        <v>236</v>
      </c>
      <c r="C7" s="20" t="s">
        <v>236</v>
      </c>
      <c r="D7" s="20" t="s">
        <v>236</v>
      </c>
      <c r="E7" s="20" t="s">
        <v>236</v>
      </c>
      <c r="F7" s="20" t="s">
        <v>236</v>
      </c>
      <c r="G7" s="20" t="s">
        <v>236</v>
      </c>
      <c r="H7" s="20" t="s">
        <v>236</v>
      </c>
      <c r="I7" s="20" t="s">
        <v>236</v>
      </c>
      <c r="J7" s="20">
        <v>6.0</v>
      </c>
      <c r="K7" s="20">
        <v>138810.0</v>
      </c>
      <c r="L7" s="20" t="s">
        <v>236</v>
      </c>
      <c r="M7" s="20" t="s">
        <v>236</v>
      </c>
      <c r="N7" s="20" t="s">
        <v>236</v>
      </c>
      <c r="O7" s="20" t="s">
        <v>236</v>
      </c>
      <c r="P7" s="20" t="s">
        <v>236</v>
      </c>
      <c r="Q7" s="20" t="s">
        <v>236</v>
      </c>
      <c r="R7" s="20" t="s">
        <v>236</v>
      </c>
      <c r="S7" s="20"/>
      <c r="T7" s="16">
        <f t="shared" ref="T7:U7" si="3">sum(B7,D7,F7,H7,J7,L7,N7,P7,R7)</f>
        <v>6</v>
      </c>
      <c r="U7" s="16">
        <f t="shared" si="3"/>
        <v>138810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>
      <c r="A8" s="20" t="s">
        <v>71</v>
      </c>
      <c r="B8" s="20" t="s">
        <v>236</v>
      </c>
      <c r="C8" s="20" t="s">
        <v>236</v>
      </c>
      <c r="D8" s="20">
        <v>1.0</v>
      </c>
      <c r="E8" s="20">
        <v>3581.0</v>
      </c>
      <c r="F8" s="20" t="s">
        <v>236</v>
      </c>
      <c r="G8" s="20" t="s">
        <v>236</v>
      </c>
      <c r="H8" s="20" t="s">
        <v>236</v>
      </c>
      <c r="I8" s="20" t="s">
        <v>236</v>
      </c>
      <c r="J8" s="20">
        <v>6.0</v>
      </c>
      <c r="K8" s="20">
        <v>192973.0</v>
      </c>
      <c r="L8" s="20" t="s">
        <v>236</v>
      </c>
      <c r="M8" s="20" t="s">
        <v>236</v>
      </c>
      <c r="N8" s="20" t="s">
        <v>236</v>
      </c>
      <c r="O8" s="20" t="s">
        <v>236</v>
      </c>
      <c r="P8" s="20" t="s">
        <v>236</v>
      </c>
      <c r="Q8" s="20" t="s">
        <v>236</v>
      </c>
      <c r="R8" s="20" t="s">
        <v>236</v>
      </c>
      <c r="S8" s="20"/>
      <c r="T8" s="16">
        <f t="shared" ref="T8:U8" si="4">sum(B8,D8,F8,H8,J8,L8,N8,P8,R8)</f>
        <v>7</v>
      </c>
      <c r="U8" s="16">
        <f t="shared" si="4"/>
        <v>196554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>
      <c r="A9" s="20" t="s">
        <v>26</v>
      </c>
      <c r="B9" s="20" t="s">
        <v>236</v>
      </c>
      <c r="C9" s="20" t="s">
        <v>236</v>
      </c>
      <c r="D9" s="20" t="s">
        <v>236</v>
      </c>
      <c r="E9" s="20" t="s">
        <v>236</v>
      </c>
      <c r="F9" s="20">
        <v>1.0</v>
      </c>
      <c r="G9" s="20">
        <v>10758.0</v>
      </c>
      <c r="H9" s="20" t="s">
        <v>236</v>
      </c>
      <c r="I9" s="20" t="s">
        <v>236</v>
      </c>
      <c r="J9" s="20" t="s">
        <v>236</v>
      </c>
      <c r="K9" s="20" t="s">
        <v>236</v>
      </c>
      <c r="L9" s="20" t="s">
        <v>236</v>
      </c>
      <c r="M9" s="20" t="s">
        <v>236</v>
      </c>
      <c r="N9" s="20" t="s">
        <v>236</v>
      </c>
      <c r="O9" s="20" t="s">
        <v>236</v>
      </c>
      <c r="P9" s="20">
        <v>1.0</v>
      </c>
      <c r="Q9" s="20">
        <v>10244.0</v>
      </c>
      <c r="R9" s="20" t="s">
        <v>236</v>
      </c>
      <c r="S9" s="20"/>
      <c r="T9" s="16">
        <f t="shared" ref="T9:U9" si="5">sum(B9,D9,F9,H9,J9,L9,N9,P9,R9)</f>
        <v>2</v>
      </c>
      <c r="U9" s="16">
        <f t="shared" si="5"/>
        <v>21002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>
      <c r="A10" s="20" t="s">
        <v>35</v>
      </c>
      <c r="B10" s="20" t="s">
        <v>236</v>
      </c>
      <c r="C10" s="20" t="s">
        <v>236</v>
      </c>
      <c r="D10" s="20">
        <v>3.0</v>
      </c>
      <c r="E10" s="20">
        <v>9211.0</v>
      </c>
      <c r="F10" s="20" t="s">
        <v>236</v>
      </c>
      <c r="G10" s="20" t="s">
        <v>236</v>
      </c>
      <c r="H10" s="20" t="s">
        <v>236</v>
      </c>
      <c r="I10" s="20" t="s">
        <v>236</v>
      </c>
      <c r="J10" s="20" t="s">
        <v>236</v>
      </c>
      <c r="K10" s="20" t="s">
        <v>236</v>
      </c>
      <c r="L10" s="20">
        <v>1.0</v>
      </c>
      <c r="M10" s="20">
        <v>11980.0</v>
      </c>
      <c r="N10" s="20">
        <v>2.0</v>
      </c>
      <c r="O10" s="20">
        <v>4810.0</v>
      </c>
      <c r="P10" s="20">
        <v>6.0</v>
      </c>
      <c r="Q10" s="20">
        <v>22540.0</v>
      </c>
      <c r="R10" s="20" t="s">
        <v>236</v>
      </c>
      <c r="S10" s="20"/>
      <c r="T10" s="16">
        <f t="shared" ref="T10:U10" si="6">sum(B10,D10,F10,H10,J10,L10,N10,P10,R10)</f>
        <v>12</v>
      </c>
      <c r="U10" s="16">
        <f t="shared" si="6"/>
        <v>48541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>
      <c r="A11" s="20" t="s">
        <v>40</v>
      </c>
      <c r="B11" s="20">
        <v>2.0</v>
      </c>
      <c r="C11" s="20">
        <v>17989.0</v>
      </c>
      <c r="D11" s="20">
        <v>3.0</v>
      </c>
      <c r="E11" s="20">
        <v>9793.0</v>
      </c>
      <c r="F11" s="20">
        <v>5.0</v>
      </c>
      <c r="G11" s="20">
        <v>17846.0</v>
      </c>
      <c r="H11" s="20" t="s">
        <v>236</v>
      </c>
      <c r="I11" s="20" t="s">
        <v>236</v>
      </c>
      <c r="J11" s="20">
        <v>6.0</v>
      </c>
      <c r="K11" s="20">
        <v>181148.0</v>
      </c>
      <c r="L11" s="20" t="s">
        <v>236</v>
      </c>
      <c r="M11" s="20" t="s">
        <v>236</v>
      </c>
      <c r="N11" s="20" t="s">
        <v>236</v>
      </c>
      <c r="O11" s="20" t="s">
        <v>236</v>
      </c>
      <c r="P11" s="20" t="s">
        <v>236</v>
      </c>
      <c r="Q11" s="20" t="s">
        <v>236</v>
      </c>
      <c r="R11" s="20" t="s">
        <v>236</v>
      </c>
      <c r="S11" s="20"/>
      <c r="T11" s="16">
        <f t="shared" ref="T11:U11" si="7">sum(B11,D11,F11,H11,J11,L11,N11,P11,R11)</f>
        <v>16</v>
      </c>
      <c r="U11" s="16">
        <f t="shared" si="7"/>
        <v>226776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>
      <c r="A12" s="20" t="s">
        <v>44</v>
      </c>
      <c r="B12" s="20">
        <v>4.0</v>
      </c>
      <c r="C12" s="20">
        <v>13497.0</v>
      </c>
      <c r="D12" s="20">
        <v>2.0</v>
      </c>
      <c r="E12" s="20">
        <v>5930.0</v>
      </c>
      <c r="F12" s="20" t="s">
        <v>236</v>
      </c>
      <c r="G12" s="20" t="s">
        <v>236</v>
      </c>
      <c r="H12" s="20" t="s">
        <v>236</v>
      </c>
      <c r="I12" s="20" t="s">
        <v>236</v>
      </c>
      <c r="J12" s="20">
        <v>11.0</v>
      </c>
      <c r="K12" s="20">
        <v>256876.0</v>
      </c>
      <c r="L12" s="20">
        <v>1.0</v>
      </c>
      <c r="M12" s="20">
        <v>11979.0</v>
      </c>
      <c r="N12" s="20">
        <v>12.0</v>
      </c>
      <c r="O12" s="20">
        <v>16335.0</v>
      </c>
      <c r="P12" s="20">
        <v>7.0</v>
      </c>
      <c r="Q12" s="20">
        <v>24118.0</v>
      </c>
      <c r="R12" s="20" t="s">
        <v>236</v>
      </c>
      <c r="S12" s="20"/>
      <c r="T12" s="16">
        <f t="shared" ref="T12:U12" si="8">sum(B12,D12,F12,H12,J12,L12,N12,P12,R12)</f>
        <v>37</v>
      </c>
      <c r="U12" s="16">
        <f t="shared" si="8"/>
        <v>328735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3">
      <c r="A13" s="20" t="s">
        <v>48</v>
      </c>
      <c r="B13" s="20" t="s">
        <v>236</v>
      </c>
      <c r="C13" s="20" t="s">
        <v>236</v>
      </c>
      <c r="D13" s="20">
        <v>67.0</v>
      </c>
      <c r="E13" s="20">
        <v>278328.0</v>
      </c>
      <c r="F13" s="20">
        <v>16.0</v>
      </c>
      <c r="G13" s="20">
        <v>41781.0</v>
      </c>
      <c r="H13" s="20" t="s">
        <v>236</v>
      </c>
      <c r="I13" s="20" t="s">
        <v>236</v>
      </c>
      <c r="J13" s="20" t="s">
        <v>236</v>
      </c>
      <c r="K13" s="20" t="s">
        <v>236</v>
      </c>
      <c r="L13" s="20" t="s">
        <v>236</v>
      </c>
      <c r="M13" s="20" t="s">
        <v>236</v>
      </c>
      <c r="N13" s="20">
        <v>10.0</v>
      </c>
      <c r="O13" s="20">
        <v>57210.0</v>
      </c>
      <c r="P13" s="20" t="s">
        <v>236</v>
      </c>
      <c r="Q13" s="20" t="s">
        <v>236</v>
      </c>
      <c r="R13" s="20">
        <v>8.0</v>
      </c>
      <c r="S13" s="20">
        <v>2389035.0</v>
      </c>
      <c r="T13" s="16">
        <f t="shared" ref="T13:U13" si="9">sum(B13,D13,F13,H13,J13,L13,N13,P13,R13)</f>
        <v>101</v>
      </c>
      <c r="U13" s="16">
        <f t="shared" si="9"/>
        <v>2766354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</row>
    <row r="14">
      <c r="A14" s="20" t="s">
        <v>61</v>
      </c>
      <c r="B14" s="20">
        <v>10.0</v>
      </c>
      <c r="C14" s="20">
        <v>568178.0</v>
      </c>
      <c r="D14" s="20">
        <v>28.0</v>
      </c>
      <c r="E14" s="20">
        <v>4630.0</v>
      </c>
      <c r="F14" s="20">
        <v>26.0</v>
      </c>
      <c r="G14" s="20">
        <v>289104.0</v>
      </c>
      <c r="H14" s="20">
        <v>1.0</v>
      </c>
      <c r="I14" s="20">
        <v>544.0</v>
      </c>
      <c r="J14" s="20">
        <v>1.0</v>
      </c>
      <c r="K14" s="20">
        <v>2752.0</v>
      </c>
      <c r="L14" s="20" t="s">
        <v>236</v>
      </c>
      <c r="M14" s="20" t="s">
        <v>236</v>
      </c>
      <c r="N14" s="20">
        <v>4.0</v>
      </c>
      <c r="O14" s="20">
        <v>116973.0</v>
      </c>
      <c r="P14" s="20">
        <v>2.0</v>
      </c>
      <c r="Q14" s="20">
        <v>17591.0</v>
      </c>
      <c r="R14" s="20">
        <v>22.0</v>
      </c>
      <c r="S14" s="20">
        <v>2179257.0</v>
      </c>
      <c r="T14" s="16">
        <f t="shared" ref="T14:U14" si="10">sum(B14,D14,F14,H14,J14,L14,N14,P14,R14)</f>
        <v>94</v>
      </c>
      <c r="U14" s="16">
        <f t="shared" si="10"/>
        <v>3179029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>
      <c r="A15" s="20" t="s">
        <v>69</v>
      </c>
      <c r="B15" s="20" t="s">
        <v>236</v>
      </c>
      <c r="C15" s="20" t="s">
        <v>236</v>
      </c>
      <c r="D15" s="20">
        <v>3.0</v>
      </c>
      <c r="E15" s="20">
        <v>32618.0</v>
      </c>
      <c r="F15" s="20">
        <v>27.0</v>
      </c>
      <c r="G15" s="20">
        <v>198528.0</v>
      </c>
      <c r="H15" s="20" t="s">
        <v>236</v>
      </c>
      <c r="I15" s="20" t="s">
        <v>236</v>
      </c>
      <c r="J15" s="20" t="s">
        <v>236</v>
      </c>
      <c r="K15" s="20" t="s">
        <v>236</v>
      </c>
      <c r="L15" s="20">
        <v>1.0</v>
      </c>
      <c r="M15" s="20">
        <v>24560.0</v>
      </c>
      <c r="N15" s="20">
        <v>4.0</v>
      </c>
      <c r="O15" s="20">
        <v>168900.0</v>
      </c>
      <c r="P15" s="20" t="s">
        <v>236</v>
      </c>
      <c r="Q15" s="20" t="s">
        <v>236</v>
      </c>
      <c r="R15" s="20" t="s">
        <v>236</v>
      </c>
      <c r="S15" s="20"/>
      <c r="T15" s="16">
        <f t="shared" ref="T15:U15" si="11">sum(B15,D15,F15,H15,J15,L15,N15,P15,R15)</f>
        <v>35</v>
      </c>
      <c r="U15" s="16">
        <f t="shared" si="11"/>
        <v>424606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>
      <c r="A16" s="20" t="s">
        <v>77</v>
      </c>
      <c r="B16" s="20">
        <v>15.0</v>
      </c>
      <c r="C16" s="20">
        <v>311386.0</v>
      </c>
      <c r="D16" s="20">
        <v>23.0</v>
      </c>
      <c r="E16" s="20">
        <v>122504.0</v>
      </c>
      <c r="F16" s="20">
        <v>31.0</v>
      </c>
      <c r="G16" s="20">
        <v>194203.0</v>
      </c>
      <c r="H16" s="20">
        <v>4.0</v>
      </c>
      <c r="I16" s="20">
        <v>1241.0</v>
      </c>
      <c r="J16" s="20">
        <v>83.0</v>
      </c>
      <c r="K16" s="20">
        <v>634206.0</v>
      </c>
      <c r="L16" s="20">
        <v>4.0</v>
      </c>
      <c r="M16" s="20">
        <v>87006.0</v>
      </c>
      <c r="N16" s="20">
        <v>9.0</v>
      </c>
      <c r="O16" s="20">
        <v>149777.0</v>
      </c>
      <c r="P16" s="20">
        <v>14.0</v>
      </c>
      <c r="Q16" s="20">
        <v>98579.0</v>
      </c>
      <c r="R16" s="20">
        <v>7.0</v>
      </c>
      <c r="S16" s="20">
        <v>1174908.0</v>
      </c>
      <c r="T16" s="16">
        <f t="shared" ref="T16:U16" si="12">sum(B16,D16,F16,H16,J16,L16,N16,P16,R16)</f>
        <v>190</v>
      </c>
      <c r="U16" s="16">
        <f t="shared" si="12"/>
        <v>2773810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>
      <c r="A17" s="20" t="s">
        <v>79</v>
      </c>
      <c r="B17" s="20">
        <v>17.0</v>
      </c>
      <c r="C17" s="20">
        <v>348388.0</v>
      </c>
      <c r="D17" s="20" t="s">
        <v>236</v>
      </c>
      <c r="E17" s="20" t="s">
        <v>236</v>
      </c>
      <c r="F17" s="20">
        <v>39.0</v>
      </c>
      <c r="G17" s="20">
        <v>308221.0</v>
      </c>
      <c r="H17" s="20" t="s">
        <v>236</v>
      </c>
      <c r="I17" s="20" t="s">
        <v>236</v>
      </c>
      <c r="J17" s="20">
        <v>23.0</v>
      </c>
      <c r="K17" s="20">
        <v>200643.0</v>
      </c>
      <c r="L17" s="20">
        <v>1.0</v>
      </c>
      <c r="M17" s="20">
        <v>21.0</v>
      </c>
      <c r="N17" s="20">
        <v>3.0</v>
      </c>
      <c r="O17" s="20">
        <v>74788.0</v>
      </c>
      <c r="P17" s="20">
        <v>7.0</v>
      </c>
      <c r="Q17" s="20">
        <v>26411.0</v>
      </c>
      <c r="R17" s="20">
        <v>14.0</v>
      </c>
      <c r="S17" s="20">
        <v>2088324.0</v>
      </c>
      <c r="T17" s="16">
        <f t="shared" ref="T17:U17" si="13">sum(B17,D17,F17,H17,J17,L17,N17,P17,R17)</f>
        <v>104</v>
      </c>
      <c r="U17" s="16">
        <f t="shared" si="13"/>
        <v>3046796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</row>
    <row r="18">
      <c r="A18" s="20" t="s">
        <v>94</v>
      </c>
      <c r="B18" s="20">
        <v>2.0</v>
      </c>
      <c r="C18" s="20">
        <v>6715.0</v>
      </c>
      <c r="D18" s="20" t="s">
        <v>236</v>
      </c>
      <c r="E18" s="20" t="s">
        <v>236</v>
      </c>
      <c r="F18" s="20" t="s">
        <v>236</v>
      </c>
      <c r="G18" s="20" t="s">
        <v>236</v>
      </c>
      <c r="H18" s="20">
        <v>1.0</v>
      </c>
      <c r="I18" s="20">
        <v>272.0</v>
      </c>
      <c r="J18" s="20">
        <v>2.0</v>
      </c>
      <c r="K18" s="20">
        <v>35827.0</v>
      </c>
      <c r="L18" s="20">
        <v>1.0</v>
      </c>
      <c r="M18" s="20">
        <v>12486.0</v>
      </c>
      <c r="N18" s="20" t="s">
        <v>236</v>
      </c>
      <c r="O18" s="20" t="s">
        <v>236</v>
      </c>
      <c r="P18" s="20">
        <v>3.0</v>
      </c>
      <c r="Q18" s="20">
        <v>4270.0</v>
      </c>
      <c r="R18" s="20">
        <v>3.0</v>
      </c>
      <c r="S18" s="20">
        <v>664794.0</v>
      </c>
      <c r="T18" s="16">
        <f t="shared" ref="T18:U18" si="14">sum(B18,D18,F18,H18,J18,L18,N18,P18,R18)</f>
        <v>12</v>
      </c>
      <c r="U18" s="16">
        <f t="shared" si="14"/>
        <v>724364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</row>
    <row r="19">
      <c r="A19" s="20" t="s">
        <v>98</v>
      </c>
      <c r="B19" s="20">
        <v>9.0</v>
      </c>
      <c r="C19" s="20">
        <v>27152.0</v>
      </c>
      <c r="D19" s="20" t="s">
        <v>236</v>
      </c>
      <c r="E19" s="20" t="s">
        <v>236</v>
      </c>
      <c r="F19" s="20" t="s">
        <v>236</v>
      </c>
      <c r="G19" s="20" t="s">
        <v>236</v>
      </c>
      <c r="H19" s="20" t="s">
        <v>236</v>
      </c>
      <c r="I19" s="20" t="s">
        <v>236</v>
      </c>
      <c r="J19" s="20">
        <v>4.0</v>
      </c>
      <c r="K19" s="20">
        <v>69388.0</v>
      </c>
      <c r="L19" s="20" t="s">
        <v>236</v>
      </c>
      <c r="M19" s="20" t="s">
        <v>236</v>
      </c>
      <c r="N19" s="20">
        <v>2.0</v>
      </c>
      <c r="O19" s="20">
        <v>5158.0</v>
      </c>
      <c r="P19" s="20" t="s">
        <v>236</v>
      </c>
      <c r="Q19" s="20" t="s">
        <v>236</v>
      </c>
      <c r="R19" s="20">
        <v>3.0</v>
      </c>
      <c r="S19" s="20">
        <v>7028.0</v>
      </c>
      <c r="T19" s="16">
        <f t="shared" ref="T19:U19" si="15">sum(B19,D19,F19,H19,J19,L19,N19,P19,R19)</f>
        <v>18</v>
      </c>
      <c r="U19" s="16">
        <f t="shared" si="15"/>
        <v>108726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>
      <c r="A20" s="20" t="s">
        <v>106</v>
      </c>
      <c r="B20" s="20" t="s">
        <v>236</v>
      </c>
      <c r="C20" s="20" t="s">
        <v>236</v>
      </c>
      <c r="D20" s="20" t="s">
        <v>236</v>
      </c>
      <c r="E20" s="20" t="s">
        <v>236</v>
      </c>
      <c r="F20" s="20" t="s">
        <v>236</v>
      </c>
      <c r="G20" s="20" t="s">
        <v>236</v>
      </c>
      <c r="H20" s="20" t="s">
        <v>236</v>
      </c>
      <c r="I20" s="20" t="s">
        <v>236</v>
      </c>
      <c r="J20" s="20">
        <v>4.0</v>
      </c>
      <c r="K20" s="20">
        <v>114884.0</v>
      </c>
      <c r="L20" s="20" t="s">
        <v>236</v>
      </c>
      <c r="M20" s="20" t="s">
        <v>236</v>
      </c>
      <c r="N20" s="20">
        <v>1.0</v>
      </c>
      <c r="O20" s="20">
        <v>2773.0</v>
      </c>
      <c r="P20" s="20" t="s">
        <v>236</v>
      </c>
      <c r="Q20" s="20" t="s">
        <v>236</v>
      </c>
      <c r="R20" s="20">
        <v>1.0</v>
      </c>
      <c r="S20" s="20">
        <v>5928.0</v>
      </c>
      <c r="T20" s="16">
        <f t="shared" ref="T20:U20" si="16">sum(B20,D20,F20,H20,J20,L20,N20,P20,R20)</f>
        <v>6</v>
      </c>
      <c r="U20" s="16">
        <f t="shared" si="16"/>
        <v>123585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</row>
    <row r="21">
      <c r="A21" s="20" t="s">
        <v>109</v>
      </c>
      <c r="B21" s="20">
        <v>1.0</v>
      </c>
      <c r="C21" s="20">
        <v>14928.0</v>
      </c>
      <c r="D21" s="20" t="s">
        <v>236</v>
      </c>
      <c r="E21" s="20" t="s">
        <v>236</v>
      </c>
      <c r="F21" s="20" t="s">
        <v>236</v>
      </c>
      <c r="G21" s="20" t="s">
        <v>236</v>
      </c>
      <c r="H21" s="20" t="s">
        <v>236</v>
      </c>
      <c r="I21" s="20" t="s">
        <v>236</v>
      </c>
      <c r="J21" s="20" t="s">
        <v>236</v>
      </c>
      <c r="K21" s="20" t="s">
        <v>236</v>
      </c>
      <c r="L21" s="20" t="s">
        <v>236</v>
      </c>
      <c r="M21" s="20" t="s">
        <v>236</v>
      </c>
      <c r="N21" s="20" t="s">
        <v>236</v>
      </c>
      <c r="O21" s="20" t="s">
        <v>236</v>
      </c>
      <c r="P21" s="20" t="s">
        <v>236</v>
      </c>
      <c r="Q21" s="20" t="s">
        <v>236</v>
      </c>
      <c r="R21" s="20" t="s">
        <v>236</v>
      </c>
      <c r="S21" s="20"/>
      <c r="T21" s="16">
        <f t="shared" ref="T21:U21" si="17">sum(B21,D21,F21,H21,J21,L21,N21,P21,R21)</f>
        <v>1</v>
      </c>
      <c r="U21" s="16">
        <f t="shared" si="17"/>
        <v>14928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</row>
    <row r="22">
      <c r="A22" s="20" t="s">
        <v>80</v>
      </c>
      <c r="B22" s="20">
        <v>4.0</v>
      </c>
      <c r="C22" s="20">
        <v>187306.0</v>
      </c>
      <c r="D22" s="20">
        <v>2.0</v>
      </c>
      <c r="E22" s="20">
        <v>24959.0</v>
      </c>
      <c r="F22" s="20" t="s">
        <v>236</v>
      </c>
      <c r="G22" s="20" t="s">
        <v>236</v>
      </c>
      <c r="H22" s="20" t="s">
        <v>236</v>
      </c>
      <c r="I22" s="20" t="s">
        <v>236</v>
      </c>
      <c r="J22" s="20">
        <v>3.0</v>
      </c>
      <c r="K22" s="20">
        <v>52691.0</v>
      </c>
      <c r="L22" s="20">
        <v>2.0</v>
      </c>
      <c r="M22" s="20">
        <v>23425.0</v>
      </c>
      <c r="N22" s="20">
        <v>2.0</v>
      </c>
      <c r="O22" s="20">
        <v>6501.0</v>
      </c>
      <c r="P22" s="20">
        <v>2.0</v>
      </c>
      <c r="Q22" s="20">
        <v>3126.0</v>
      </c>
      <c r="R22" s="20" t="s">
        <v>236</v>
      </c>
      <c r="S22" s="20"/>
      <c r="T22" s="16">
        <f t="shared" ref="T22:U22" si="18">sum(B22,D22,F22,H22,J22,L22,N22,P22,R22)</f>
        <v>15</v>
      </c>
      <c r="U22" s="16">
        <f t="shared" si="18"/>
        <v>298008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</row>
    <row r="23">
      <c r="A23" s="20" t="s">
        <v>85</v>
      </c>
      <c r="B23" s="20" t="s">
        <v>236</v>
      </c>
      <c r="C23" s="20" t="s">
        <v>236</v>
      </c>
      <c r="D23" s="20" t="s">
        <v>236</v>
      </c>
      <c r="E23" s="20" t="s">
        <v>236</v>
      </c>
      <c r="F23" s="20" t="s">
        <v>236</v>
      </c>
      <c r="G23" s="20" t="s">
        <v>236</v>
      </c>
      <c r="H23" s="20" t="s">
        <v>236</v>
      </c>
      <c r="I23" s="20" t="s">
        <v>236</v>
      </c>
      <c r="J23" s="20">
        <v>1.0</v>
      </c>
      <c r="K23" s="20">
        <v>39578.0</v>
      </c>
      <c r="L23" s="20" t="s">
        <v>236</v>
      </c>
      <c r="M23" s="20" t="s">
        <v>236</v>
      </c>
      <c r="N23" s="20" t="s">
        <v>236</v>
      </c>
      <c r="O23" s="20" t="s">
        <v>236</v>
      </c>
      <c r="P23" s="20" t="s">
        <v>236</v>
      </c>
      <c r="Q23" s="20" t="s">
        <v>236</v>
      </c>
      <c r="R23" s="20" t="s">
        <v>236</v>
      </c>
      <c r="S23" s="20"/>
      <c r="T23" s="16">
        <f t="shared" ref="T23:U23" si="19">sum(B23,D23,F23,H23,J23,L23,N23,P23,R23)</f>
        <v>1</v>
      </c>
      <c r="U23" s="16">
        <f t="shared" si="19"/>
        <v>39578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</row>
    <row r="24">
      <c r="A24" s="20" t="s">
        <v>90</v>
      </c>
      <c r="B24" s="20" t="s">
        <v>236</v>
      </c>
      <c r="C24" s="20" t="s">
        <v>236</v>
      </c>
      <c r="D24" s="20">
        <v>1.0</v>
      </c>
      <c r="E24" s="20">
        <v>3583.0</v>
      </c>
      <c r="F24" s="20" t="s">
        <v>236</v>
      </c>
      <c r="G24" s="20" t="s">
        <v>236</v>
      </c>
      <c r="H24" s="20" t="s">
        <v>236</v>
      </c>
      <c r="I24" s="20" t="s">
        <v>236</v>
      </c>
      <c r="J24" s="20">
        <v>6.0</v>
      </c>
      <c r="K24" s="20">
        <v>183557.0</v>
      </c>
      <c r="L24" s="20" t="s">
        <v>236</v>
      </c>
      <c r="M24" s="20" t="s">
        <v>236</v>
      </c>
      <c r="N24" s="20" t="s">
        <v>236</v>
      </c>
      <c r="O24" s="20" t="s">
        <v>236</v>
      </c>
      <c r="P24" s="20" t="s">
        <v>236</v>
      </c>
      <c r="Q24" s="20" t="s">
        <v>236</v>
      </c>
      <c r="R24" s="20" t="s">
        <v>236</v>
      </c>
      <c r="S24" s="20"/>
      <c r="T24" s="16">
        <f t="shared" ref="T24:U24" si="20">sum(B24,D24,F24,H24,J24,L24,N24,P24,R24)</f>
        <v>7</v>
      </c>
      <c r="U24" s="16">
        <f t="shared" si="20"/>
        <v>187140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</row>
    <row r="25">
      <c r="A25" s="20" t="s">
        <v>102</v>
      </c>
      <c r="B25" s="20">
        <v>6.0</v>
      </c>
      <c r="C25" s="20">
        <v>56292.0</v>
      </c>
      <c r="D25" s="20">
        <v>13.0</v>
      </c>
      <c r="E25" s="20">
        <v>35703.0</v>
      </c>
      <c r="F25" s="20">
        <v>6.0</v>
      </c>
      <c r="G25" s="20">
        <v>21126.0</v>
      </c>
      <c r="H25" s="20">
        <v>1.0</v>
      </c>
      <c r="I25" s="20">
        <v>272.0</v>
      </c>
      <c r="J25" s="20">
        <v>48.0</v>
      </c>
      <c r="K25" s="20">
        <v>1277287.0</v>
      </c>
      <c r="L25" s="20">
        <v>1.0</v>
      </c>
      <c r="M25" s="20">
        <v>12495.0</v>
      </c>
      <c r="N25" s="20">
        <v>4.0</v>
      </c>
      <c r="O25" s="20">
        <v>13512.0</v>
      </c>
      <c r="P25" s="20">
        <v>5.0</v>
      </c>
      <c r="Q25" s="20">
        <v>12539.0</v>
      </c>
      <c r="R25" s="20">
        <v>8.0</v>
      </c>
      <c r="S25" s="20">
        <v>1066230.0</v>
      </c>
      <c r="T25" s="16">
        <f t="shared" ref="T25:U25" si="21">sum(B25,D25,F25,H25,J25,L25,N25,P25,R25)</f>
        <v>92</v>
      </c>
      <c r="U25" s="16">
        <f t="shared" si="21"/>
        <v>2495456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</row>
    <row r="26">
      <c r="A26" s="20" t="s">
        <v>117</v>
      </c>
      <c r="B26" s="20" t="s">
        <v>236</v>
      </c>
      <c r="C26" s="20" t="s">
        <v>236</v>
      </c>
      <c r="D26" s="20">
        <v>23.0</v>
      </c>
      <c r="E26" s="20">
        <v>60884.0</v>
      </c>
      <c r="F26" s="20">
        <v>1.0</v>
      </c>
      <c r="G26" s="20">
        <v>554.0</v>
      </c>
      <c r="H26" s="20" t="s">
        <v>236</v>
      </c>
      <c r="I26" s="20" t="s">
        <v>236</v>
      </c>
      <c r="J26" s="20">
        <v>8.0</v>
      </c>
      <c r="K26" s="20">
        <v>148390.0</v>
      </c>
      <c r="L26" s="20" t="s">
        <v>236</v>
      </c>
      <c r="M26" s="20" t="s">
        <v>236</v>
      </c>
      <c r="N26" s="20">
        <v>2.0</v>
      </c>
      <c r="O26" s="20">
        <v>4288.0</v>
      </c>
      <c r="P26" s="20">
        <v>68.0</v>
      </c>
      <c r="Q26" s="20">
        <v>153345.0</v>
      </c>
      <c r="R26" s="20" t="s">
        <v>236</v>
      </c>
      <c r="S26" s="20"/>
      <c r="T26" s="16">
        <f t="shared" ref="T26:U26" si="22">sum(B26,D26,F26,H26,J26,L26,N26,P26,R26)</f>
        <v>102</v>
      </c>
      <c r="U26" s="16">
        <f t="shared" si="22"/>
        <v>367461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</row>
    <row r="27">
      <c r="A27" s="20" t="s">
        <v>121</v>
      </c>
      <c r="B27" s="20" t="s">
        <v>236</v>
      </c>
      <c r="C27" s="20" t="s">
        <v>236</v>
      </c>
      <c r="D27" s="20" t="s">
        <v>236</v>
      </c>
      <c r="E27" s="20" t="s">
        <v>236</v>
      </c>
      <c r="F27" s="20" t="s">
        <v>236</v>
      </c>
      <c r="G27" s="20" t="s">
        <v>236</v>
      </c>
      <c r="H27" s="20" t="s">
        <v>236</v>
      </c>
      <c r="I27" s="20" t="s">
        <v>236</v>
      </c>
      <c r="J27" s="20">
        <v>2.0</v>
      </c>
      <c r="K27" s="20">
        <v>35189.0</v>
      </c>
      <c r="L27" s="20" t="s">
        <v>236</v>
      </c>
      <c r="M27" s="20" t="s">
        <v>236</v>
      </c>
      <c r="N27" s="20" t="s">
        <v>236</v>
      </c>
      <c r="O27" s="20" t="s">
        <v>236</v>
      </c>
      <c r="P27" s="20">
        <v>59.0</v>
      </c>
      <c r="Q27" s="20">
        <v>114141.0</v>
      </c>
      <c r="R27" s="20" t="s">
        <v>236</v>
      </c>
      <c r="S27" s="20"/>
      <c r="T27" s="16">
        <f t="shared" ref="T27:U27" si="23">sum(B27,D27,F27,H27,J27,L27,N27,P27,R27)</f>
        <v>61</v>
      </c>
      <c r="U27" s="16">
        <f t="shared" si="23"/>
        <v>149330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</row>
    <row r="28">
      <c r="A28" s="20" t="s">
        <v>140</v>
      </c>
      <c r="B28" s="20" t="s">
        <v>236</v>
      </c>
      <c r="C28" s="20" t="s">
        <v>236</v>
      </c>
      <c r="D28" s="20" t="s">
        <v>236</v>
      </c>
      <c r="E28" s="20" t="s">
        <v>236</v>
      </c>
      <c r="F28" s="20" t="s">
        <v>236</v>
      </c>
      <c r="G28" s="20" t="s">
        <v>236</v>
      </c>
      <c r="H28" s="20" t="s">
        <v>236</v>
      </c>
      <c r="I28" s="20" t="s">
        <v>236</v>
      </c>
      <c r="J28" s="20">
        <v>1.0</v>
      </c>
      <c r="K28" s="20">
        <v>20471.0</v>
      </c>
      <c r="L28" s="20" t="s">
        <v>236</v>
      </c>
      <c r="M28" s="20" t="s">
        <v>236</v>
      </c>
      <c r="N28" s="20" t="s">
        <v>236</v>
      </c>
      <c r="O28" s="20" t="s">
        <v>236</v>
      </c>
      <c r="P28" s="20">
        <v>1.0</v>
      </c>
      <c r="Q28" s="20">
        <v>964.0</v>
      </c>
      <c r="R28" s="20" t="s">
        <v>236</v>
      </c>
      <c r="S28" s="20"/>
      <c r="T28" s="16">
        <f t="shared" ref="T28:U28" si="24">sum(B28,D28,F28,H28,J28,L28,N28,P28,R28)</f>
        <v>2</v>
      </c>
      <c r="U28" s="16">
        <f t="shared" si="24"/>
        <v>21435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</row>
    <row r="29">
      <c r="A29" s="20" t="s">
        <v>144</v>
      </c>
      <c r="B29" s="20">
        <v>6.0</v>
      </c>
      <c r="C29" s="20">
        <v>30504.0</v>
      </c>
      <c r="D29" s="20" t="s">
        <v>236</v>
      </c>
      <c r="E29" s="20" t="s">
        <v>236</v>
      </c>
      <c r="F29" s="20" t="s">
        <v>236</v>
      </c>
      <c r="G29" s="20" t="s">
        <v>236</v>
      </c>
      <c r="H29" s="20" t="s">
        <v>236</v>
      </c>
      <c r="I29" s="20" t="s">
        <v>236</v>
      </c>
      <c r="J29" s="20">
        <v>2.0</v>
      </c>
      <c r="K29" s="20">
        <v>1584.0</v>
      </c>
      <c r="L29" s="20">
        <v>1.0</v>
      </c>
      <c r="M29" s="20">
        <v>12344.0</v>
      </c>
      <c r="N29" s="20" t="s">
        <v>236</v>
      </c>
      <c r="O29" s="20" t="s">
        <v>236</v>
      </c>
      <c r="P29" s="20">
        <v>7.0</v>
      </c>
      <c r="Q29" s="20">
        <v>23756.0</v>
      </c>
      <c r="R29" s="20" t="s">
        <v>236</v>
      </c>
      <c r="S29" s="20"/>
      <c r="T29" s="16">
        <f t="shared" ref="T29:U29" si="25">sum(B29,D29,F29,H29,J29,L29,N29,P29,R29)</f>
        <v>16</v>
      </c>
      <c r="U29" s="16">
        <f t="shared" si="25"/>
        <v>68188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</row>
    <row r="30">
      <c r="A30" s="20" t="s">
        <v>638</v>
      </c>
      <c r="B30" s="20">
        <v>4.0</v>
      </c>
      <c r="C30" s="20">
        <v>39974.0</v>
      </c>
      <c r="D30" s="20" t="s">
        <v>236</v>
      </c>
      <c r="E30" s="20" t="s">
        <v>236</v>
      </c>
      <c r="F30" s="20">
        <v>2.0</v>
      </c>
      <c r="G30" s="20">
        <v>14252.0</v>
      </c>
      <c r="H30" s="20">
        <v>4.0</v>
      </c>
      <c r="I30" s="20">
        <v>802.0</v>
      </c>
      <c r="J30" s="20">
        <v>15.0</v>
      </c>
      <c r="K30" s="20">
        <v>68053.0</v>
      </c>
      <c r="L30" s="20">
        <v>2.0</v>
      </c>
      <c r="M30" s="20">
        <v>26600.0</v>
      </c>
      <c r="N30" s="20">
        <v>1.0</v>
      </c>
      <c r="O30" s="20">
        <v>12400.0</v>
      </c>
      <c r="P30" s="20">
        <v>19.0</v>
      </c>
      <c r="Q30" s="20">
        <v>93284.0</v>
      </c>
      <c r="R30" s="20">
        <v>5.0</v>
      </c>
      <c r="S30" s="20">
        <v>218090.0</v>
      </c>
      <c r="T30" s="16">
        <f t="shared" ref="T30:U30" si="26">sum(B30,D30,F30,H30,J30,L30,N30,P30,R30)</f>
        <v>52</v>
      </c>
      <c r="U30" s="16">
        <f t="shared" si="26"/>
        <v>473455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>
      <c r="A31" s="20" t="s">
        <v>113</v>
      </c>
      <c r="B31" s="20">
        <v>6.0</v>
      </c>
      <c r="C31" s="20">
        <v>19832.0</v>
      </c>
      <c r="D31" s="20">
        <v>3.0</v>
      </c>
      <c r="E31" s="20">
        <v>9585.0</v>
      </c>
      <c r="F31" s="20">
        <v>4.0</v>
      </c>
      <c r="G31" s="20">
        <v>15296.0</v>
      </c>
      <c r="H31" s="20" t="s">
        <v>236</v>
      </c>
      <c r="I31" s="20" t="s">
        <v>236</v>
      </c>
      <c r="J31" s="20">
        <v>5.0</v>
      </c>
      <c r="K31" s="20">
        <v>163207.0</v>
      </c>
      <c r="L31" s="20">
        <v>1.0</v>
      </c>
      <c r="M31" s="20">
        <v>12509.0</v>
      </c>
      <c r="N31" s="20">
        <v>8.0</v>
      </c>
      <c r="O31" s="20">
        <v>17665.0</v>
      </c>
      <c r="P31" s="20">
        <v>5.0</v>
      </c>
      <c r="Q31" s="20">
        <v>9489.0</v>
      </c>
      <c r="R31" s="20" t="s">
        <v>236</v>
      </c>
      <c r="S31" s="20"/>
      <c r="T31" s="16">
        <f t="shared" ref="T31:U31" si="27">sum(B31,D31,F31,H31,J31,L31,N31,P31,R31)</f>
        <v>32</v>
      </c>
      <c r="U31" s="16">
        <f t="shared" si="27"/>
        <v>247583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</row>
    <row r="32">
      <c r="A32" s="20" t="s">
        <v>124</v>
      </c>
      <c r="B32" s="20" t="s">
        <v>236</v>
      </c>
      <c r="C32" s="20" t="s">
        <v>236</v>
      </c>
      <c r="D32" s="20" t="s">
        <v>236</v>
      </c>
      <c r="E32" s="20" t="s">
        <v>236</v>
      </c>
      <c r="F32" s="20" t="s">
        <v>236</v>
      </c>
      <c r="G32" s="20" t="s">
        <v>236</v>
      </c>
      <c r="H32" s="20" t="s">
        <v>236</v>
      </c>
      <c r="I32" s="20" t="s">
        <v>236</v>
      </c>
      <c r="J32" s="20">
        <v>3.0</v>
      </c>
      <c r="K32" s="20">
        <v>60396.0</v>
      </c>
      <c r="L32" s="20" t="s">
        <v>236</v>
      </c>
      <c r="M32" s="20" t="s">
        <v>236</v>
      </c>
      <c r="N32" s="20">
        <v>3.0</v>
      </c>
      <c r="O32" s="20">
        <v>19600.0</v>
      </c>
      <c r="P32" s="20">
        <v>3.0</v>
      </c>
      <c r="Q32" s="20">
        <v>31654.0</v>
      </c>
      <c r="R32" s="20">
        <v>1.0</v>
      </c>
      <c r="S32" s="20">
        <v>269816.0</v>
      </c>
      <c r="T32" s="16">
        <f t="shared" ref="T32:U32" si="28">sum(B32,D32,F32,H32,J32,L32,N32,P32,R32)</f>
        <v>10</v>
      </c>
      <c r="U32" s="16">
        <f t="shared" si="28"/>
        <v>381466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</row>
    <row r="33">
      <c r="A33" s="20" t="s">
        <v>126</v>
      </c>
      <c r="B33" s="20">
        <v>36.0</v>
      </c>
      <c r="C33" s="20">
        <v>326885.0</v>
      </c>
      <c r="D33" s="20" t="s">
        <v>236</v>
      </c>
      <c r="E33" s="20" t="s">
        <v>236</v>
      </c>
      <c r="F33" s="20">
        <v>6.0</v>
      </c>
      <c r="G33" s="20">
        <v>28933.0</v>
      </c>
      <c r="H33" s="20" t="s">
        <v>236</v>
      </c>
      <c r="I33" s="20" t="s">
        <v>236</v>
      </c>
      <c r="J33" s="20">
        <v>4.0</v>
      </c>
      <c r="K33" s="20">
        <v>143726.0</v>
      </c>
      <c r="L33" s="20" t="s">
        <v>236</v>
      </c>
      <c r="M33" s="20" t="s">
        <v>236</v>
      </c>
      <c r="N33" s="20">
        <v>6.0</v>
      </c>
      <c r="O33" s="20">
        <v>19862.0</v>
      </c>
      <c r="P33" s="20">
        <v>1.0</v>
      </c>
      <c r="Q33" s="20">
        <v>187.0</v>
      </c>
      <c r="R33" s="20" t="s">
        <v>236</v>
      </c>
      <c r="S33" s="20"/>
      <c r="T33" s="16">
        <f t="shared" ref="T33:U33" si="29">sum(B33,D33,F33,H33,J33,L33,N33,P33,R33)</f>
        <v>53</v>
      </c>
      <c r="U33" s="16">
        <f t="shared" si="29"/>
        <v>519593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</row>
    <row r="34">
      <c r="A34" s="20" t="s">
        <v>132</v>
      </c>
      <c r="B34" s="20">
        <v>40.0</v>
      </c>
      <c r="C34" s="20">
        <v>1986511.0</v>
      </c>
      <c r="D34" s="20" t="s">
        <v>236</v>
      </c>
      <c r="E34" s="20" t="s">
        <v>236</v>
      </c>
      <c r="F34" s="20" t="s">
        <v>236</v>
      </c>
      <c r="G34" s="20" t="s">
        <v>236</v>
      </c>
      <c r="H34" s="20" t="s">
        <v>236</v>
      </c>
      <c r="I34" s="20" t="s">
        <v>236</v>
      </c>
      <c r="J34" s="20" t="s">
        <v>236</v>
      </c>
      <c r="K34" s="20" t="s">
        <v>236</v>
      </c>
      <c r="L34" s="20" t="s">
        <v>236</v>
      </c>
      <c r="M34" s="20" t="s">
        <v>236</v>
      </c>
      <c r="N34" s="20">
        <v>6.0</v>
      </c>
      <c r="O34" s="20">
        <v>55530.0</v>
      </c>
      <c r="P34" s="20">
        <v>4.0</v>
      </c>
      <c r="Q34" s="20">
        <v>57810.0</v>
      </c>
      <c r="R34" s="20" t="s">
        <v>236</v>
      </c>
      <c r="S34" s="20"/>
      <c r="T34" s="16">
        <f t="shared" ref="T34:U34" si="30">sum(B34,D34,F34,H34,J34,L34,N34,P34,R34)</f>
        <v>50</v>
      </c>
      <c r="U34" s="16">
        <f t="shared" si="30"/>
        <v>2099851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</row>
    <row r="35">
      <c r="A35" s="20" t="s">
        <v>133</v>
      </c>
      <c r="B35" s="20">
        <v>2.0</v>
      </c>
      <c r="C35" s="20">
        <v>1245.0</v>
      </c>
      <c r="D35" s="20" t="s">
        <v>236</v>
      </c>
      <c r="E35" s="20" t="s">
        <v>236</v>
      </c>
      <c r="F35" s="20">
        <v>1.0</v>
      </c>
      <c r="G35" s="20">
        <v>26748.0</v>
      </c>
      <c r="H35" s="20" t="s">
        <v>236</v>
      </c>
      <c r="I35" s="20" t="s">
        <v>236</v>
      </c>
      <c r="J35" s="20">
        <v>1.0</v>
      </c>
      <c r="K35" s="20">
        <v>22827.0</v>
      </c>
      <c r="L35" s="20" t="s">
        <v>236</v>
      </c>
      <c r="M35" s="20" t="s">
        <v>236</v>
      </c>
      <c r="N35" s="20" t="s">
        <v>236</v>
      </c>
      <c r="O35" s="20" t="s">
        <v>236</v>
      </c>
      <c r="P35" s="20">
        <v>1.0</v>
      </c>
      <c r="Q35" s="20">
        <v>50896.0</v>
      </c>
      <c r="R35" s="20" t="s">
        <v>236</v>
      </c>
      <c r="S35" s="20"/>
      <c r="T35" s="16">
        <f t="shared" ref="T35:U35" si="31">sum(B35,D35,F35,H35,J35,L35,N35,P35,R35)</f>
        <v>5</v>
      </c>
      <c r="U35" s="16">
        <f t="shared" si="31"/>
        <v>101716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</row>
    <row r="36">
      <c r="A36" s="20" t="s">
        <v>136</v>
      </c>
      <c r="B36" s="20">
        <v>2.0</v>
      </c>
      <c r="C36" s="20">
        <v>1247.0</v>
      </c>
      <c r="D36" s="20" t="s">
        <v>236</v>
      </c>
      <c r="E36" s="20" t="s">
        <v>236</v>
      </c>
      <c r="F36" s="20">
        <v>1.0</v>
      </c>
      <c r="G36" s="20">
        <v>26850.0</v>
      </c>
      <c r="H36" s="20" t="s">
        <v>236</v>
      </c>
      <c r="I36" s="20" t="s">
        <v>236</v>
      </c>
      <c r="J36" s="20">
        <v>1.0</v>
      </c>
      <c r="K36" s="20">
        <v>22876.0</v>
      </c>
      <c r="L36" s="20" t="s">
        <v>236</v>
      </c>
      <c r="M36" s="20" t="s">
        <v>236</v>
      </c>
      <c r="N36" s="20" t="s">
        <v>236</v>
      </c>
      <c r="O36" s="20" t="s">
        <v>236</v>
      </c>
      <c r="P36" s="20">
        <v>1.0</v>
      </c>
      <c r="Q36" s="20">
        <v>50896.0</v>
      </c>
      <c r="R36" s="20" t="s">
        <v>236</v>
      </c>
      <c r="S36" s="20"/>
      <c r="T36" s="16">
        <f t="shared" ref="T36:U36" si="32">sum(B36,D36,F36,H36,J36,L36,N36,P36,R36)</f>
        <v>5</v>
      </c>
      <c r="U36" s="16">
        <f t="shared" si="32"/>
        <v>101869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</row>
    <row r="37">
      <c r="A37" s="20" t="s">
        <v>139</v>
      </c>
      <c r="B37" s="20">
        <v>16.0</v>
      </c>
      <c r="C37" s="20">
        <v>459445.0</v>
      </c>
      <c r="D37" s="20">
        <v>34.0</v>
      </c>
      <c r="E37" s="20">
        <v>22068.0</v>
      </c>
      <c r="F37" s="20">
        <v>1.0</v>
      </c>
      <c r="G37" s="20">
        <v>13985.0</v>
      </c>
      <c r="H37" s="20" t="s">
        <v>236</v>
      </c>
      <c r="I37" s="20" t="s">
        <v>236</v>
      </c>
      <c r="J37" s="20">
        <v>8.0</v>
      </c>
      <c r="K37" s="20">
        <v>65700.0</v>
      </c>
      <c r="L37" s="20" t="s">
        <v>236</v>
      </c>
      <c r="M37" s="20" t="s">
        <v>236</v>
      </c>
      <c r="N37" s="20" t="s">
        <v>236</v>
      </c>
      <c r="O37" s="20" t="s">
        <v>236</v>
      </c>
      <c r="P37" s="20">
        <v>1.0</v>
      </c>
      <c r="Q37" s="20">
        <v>5552.0</v>
      </c>
      <c r="R37" s="20">
        <v>6.0</v>
      </c>
      <c r="S37" s="20">
        <v>950540.0</v>
      </c>
      <c r="T37" s="16">
        <f t="shared" ref="T37:U37" si="33">sum(B37,D37,F37,H37,J37,L37,N37,P37,R37)</f>
        <v>66</v>
      </c>
      <c r="U37" s="16">
        <f t="shared" si="33"/>
        <v>1517290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</row>
    <row r="38">
      <c r="A38" s="20" t="s">
        <v>147</v>
      </c>
      <c r="B38" s="20">
        <v>1.0</v>
      </c>
      <c r="C38" s="20">
        <v>5833.0</v>
      </c>
      <c r="D38" s="20" t="s">
        <v>236</v>
      </c>
      <c r="E38" s="20" t="s">
        <v>236</v>
      </c>
      <c r="F38" s="20" t="s">
        <v>236</v>
      </c>
      <c r="G38" s="20" t="s">
        <v>236</v>
      </c>
      <c r="H38" s="20" t="s">
        <v>236</v>
      </c>
      <c r="I38" s="20" t="s">
        <v>236</v>
      </c>
      <c r="J38" s="20">
        <v>2.0</v>
      </c>
      <c r="K38" s="20">
        <v>50336.0</v>
      </c>
      <c r="L38" s="20" t="s">
        <v>236</v>
      </c>
      <c r="M38" s="20" t="s">
        <v>236</v>
      </c>
      <c r="N38" s="20">
        <v>1.0</v>
      </c>
      <c r="O38" s="20">
        <v>3839.0</v>
      </c>
      <c r="P38" s="20">
        <v>1.0</v>
      </c>
      <c r="Q38" s="20">
        <v>6129.0</v>
      </c>
      <c r="R38" s="20" t="s">
        <v>236</v>
      </c>
      <c r="S38" s="20"/>
      <c r="T38" s="16">
        <f t="shared" ref="T38:U38" si="34">sum(B38,D38,F38,H38,J38,L38,N38,P38,R38)</f>
        <v>5</v>
      </c>
      <c r="U38" s="16">
        <f t="shared" si="34"/>
        <v>66137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</row>
    <row r="39">
      <c r="A39" s="20" t="s">
        <v>152</v>
      </c>
      <c r="B39" s="20">
        <v>30.0</v>
      </c>
      <c r="C39" s="20">
        <v>698091.0</v>
      </c>
      <c r="D39" s="20">
        <v>20.0</v>
      </c>
      <c r="E39" s="20">
        <v>115051.0</v>
      </c>
      <c r="F39" s="20">
        <v>15.0</v>
      </c>
      <c r="G39" s="20">
        <v>177339.0</v>
      </c>
      <c r="H39" s="20">
        <v>2.0</v>
      </c>
      <c r="I39" s="20">
        <v>1088.0</v>
      </c>
      <c r="J39" s="20">
        <v>69.0</v>
      </c>
      <c r="K39" s="20">
        <v>529812.0</v>
      </c>
      <c r="L39" s="20">
        <v>2.0</v>
      </c>
      <c r="M39" s="20">
        <v>31744.0</v>
      </c>
      <c r="N39" s="20">
        <v>3.0</v>
      </c>
      <c r="O39" s="20">
        <v>20498.0</v>
      </c>
      <c r="P39" s="20">
        <v>20.0</v>
      </c>
      <c r="Q39" s="20">
        <v>225308.0</v>
      </c>
      <c r="R39" s="20">
        <v>1.0</v>
      </c>
      <c r="S39" s="20">
        <v>424089.0</v>
      </c>
      <c r="T39" s="16">
        <f t="shared" ref="T39:U39" si="35">sum(B39,D39,F39,H39,J39,L39,N39,P39,R39)</f>
        <v>162</v>
      </c>
      <c r="U39" s="16">
        <f t="shared" si="35"/>
        <v>2223020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>
      <c r="A40" s="20" t="s">
        <v>159</v>
      </c>
      <c r="B40" s="20">
        <v>26.0</v>
      </c>
      <c r="C40" s="20">
        <v>166348.0</v>
      </c>
      <c r="D40" s="20">
        <v>2.0</v>
      </c>
      <c r="E40" s="20">
        <v>6451.0</v>
      </c>
      <c r="F40" s="20" t="s">
        <v>236</v>
      </c>
      <c r="G40" s="20" t="s">
        <v>236</v>
      </c>
      <c r="H40" s="20" t="s">
        <v>236</v>
      </c>
      <c r="I40" s="20" t="s">
        <v>236</v>
      </c>
      <c r="J40" s="20">
        <v>40.0</v>
      </c>
      <c r="K40" s="20">
        <v>716188.0</v>
      </c>
      <c r="L40" s="20">
        <v>1.0</v>
      </c>
      <c r="M40" s="20">
        <v>12511.0</v>
      </c>
      <c r="N40" s="20">
        <v>5.0</v>
      </c>
      <c r="O40" s="20">
        <v>17063.0</v>
      </c>
      <c r="P40" s="20">
        <v>2.0</v>
      </c>
      <c r="Q40" s="20">
        <v>4534.0</v>
      </c>
      <c r="R40" s="20">
        <v>1.0</v>
      </c>
      <c r="S40" s="20">
        <v>5987.0</v>
      </c>
      <c r="T40" s="16">
        <f t="shared" ref="T40:U40" si="36">sum(B40,D40,F40,H40,J40,L40,N40,P40,R40)</f>
        <v>77</v>
      </c>
      <c r="U40" s="16">
        <f t="shared" si="36"/>
        <v>929082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</row>
    <row r="41">
      <c r="A41" s="20" t="s">
        <v>162</v>
      </c>
      <c r="B41" s="20">
        <v>5.0</v>
      </c>
      <c r="C41" s="20">
        <v>8791.0</v>
      </c>
      <c r="D41" s="20">
        <v>10.0</v>
      </c>
      <c r="E41" s="20">
        <v>11770.0</v>
      </c>
      <c r="F41" s="20" t="s">
        <v>236</v>
      </c>
      <c r="G41" s="20" t="s">
        <v>236</v>
      </c>
      <c r="H41" s="20" t="s">
        <v>236</v>
      </c>
      <c r="I41" s="20" t="s">
        <v>236</v>
      </c>
      <c r="J41" s="20">
        <v>9.0</v>
      </c>
      <c r="K41" s="20">
        <v>198748.0</v>
      </c>
      <c r="L41" s="20">
        <v>1.0</v>
      </c>
      <c r="M41" s="20">
        <v>12474.0</v>
      </c>
      <c r="N41" s="20">
        <v>7.0</v>
      </c>
      <c r="O41" s="20">
        <v>13439.0</v>
      </c>
      <c r="P41" s="20">
        <v>6.0</v>
      </c>
      <c r="Q41" s="20">
        <v>23867.0</v>
      </c>
      <c r="R41" s="20" t="s">
        <v>236</v>
      </c>
      <c r="S41" s="20"/>
      <c r="T41" s="16">
        <f t="shared" ref="T41:U41" si="37">sum(B41,D41,F41,H41,J41,L41,N41,P41,R41)</f>
        <v>38</v>
      </c>
      <c r="U41" s="16">
        <f t="shared" si="37"/>
        <v>269089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</row>
    <row r="42">
      <c r="A42" s="20" t="s">
        <v>165</v>
      </c>
      <c r="B42" s="20">
        <v>8.0</v>
      </c>
      <c r="C42" s="20">
        <v>44017.0</v>
      </c>
      <c r="D42" s="20" t="s">
        <v>236</v>
      </c>
      <c r="E42" s="20" t="s">
        <v>236</v>
      </c>
      <c r="F42" s="20">
        <v>3.0</v>
      </c>
      <c r="G42" s="20">
        <v>27099.0</v>
      </c>
      <c r="H42" s="20" t="s">
        <v>236</v>
      </c>
      <c r="I42" s="20" t="s">
        <v>236</v>
      </c>
      <c r="J42" s="20">
        <v>2.0</v>
      </c>
      <c r="K42" s="20">
        <v>55792.0</v>
      </c>
      <c r="L42" s="20" t="s">
        <v>236</v>
      </c>
      <c r="M42" s="20" t="s">
        <v>236</v>
      </c>
      <c r="N42" s="20">
        <v>1.0</v>
      </c>
      <c r="O42" s="20">
        <v>3783.0</v>
      </c>
      <c r="P42" s="20">
        <v>2.0</v>
      </c>
      <c r="Q42" s="20">
        <v>10716.0</v>
      </c>
      <c r="R42" s="20" t="s">
        <v>236</v>
      </c>
      <c r="S42" s="20"/>
      <c r="T42" s="16">
        <f t="shared" ref="T42:U42" si="38">sum(B42,D42,F42,H42,J42,L42,N42,P42,R42)</f>
        <v>16</v>
      </c>
      <c r="U42" s="16">
        <f t="shared" si="38"/>
        <v>141407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</row>
    <row r="43">
      <c r="A43" s="20" t="s">
        <v>171</v>
      </c>
      <c r="B43" s="20">
        <v>1.0</v>
      </c>
      <c r="C43" s="20">
        <v>11913.0</v>
      </c>
      <c r="D43" s="20" t="s">
        <v>236</v>
      </c>
      <c r="E43" s="20" t="s">
        <v>236</v>
      </c>
      <c r="F43" s="20">
        <v>2.0</v>
      </c>
      <c r="G43" s="20">
        <v>2821.0</v>
      </c>
      <c r="H43" s="20" t="s">
        <v>236</v>
      </c>
      <c r="I43" s="20" t="s">
        <v>236</v>
      </c>
      <c r="J43" s="20">
        <v>2.0</v>
      </c>
      <c r="K43" s="20">
        <v>57321.0</v>
      </c>
      <c r="L43" s="20" t="s">
        <v>236</v>
      </c>
      <c r="M43" s="20" t="s">
        <v>236</v>
      </c>
      <c r="N43" s="20" t="s">
        <v>236</v>
      </c>
      <c r="O43" s="20" t="s">
        <v>236</v>
      </c>
      <c r="P43" s="20">
        <v>5.0</v>
      </c>
      <c r="Q43" s="20">
        <v>8652.0</v>
      </c>
      <c r="R43" s="20" t="s">
        <v>236</v>
      </c>
      <c r="S43" s="20"/>
      <c r="T43" s="16">
        <f t="shared" ref="T43:U43" si="39">sum(B43,D43,F43,H43,J43,L43,N43,P43,R43)</f>
        <v>10</v>
      </c>
      <c r="U43" s="16">
        <f t="shared" si="39"/>
        <v>80707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>
      <c r="A44" s="20" t="s">
        <v>175</v>
      </c>
      <c r="B44" s="20">
        <v>27.0</v>
      </c>
      <c r="C44" s="20">
        <v>748362.0</v>
      </c>
      <c r="D44" s="20">
        <v>4.0</v>
      </c>
      <c r="E44" s="20">
        <v>292.0</v>
      </c>
      <c r="F44" s="20">
        <v>1.0</v>
      </c>
      <c r="G44" s="20">
        <v>11062.0</v>
      </c>
      <c r="H44" s="20" t="s">
        <v>236</v>
      </c>
      <c r="I44" s="20" t="s">
        <v>236</v>
      </c>
      <c r="J44" s="20">
        <v>1.0</v>
      </c>
      <c r="K44" s="20">
        <v>3339.0</v>
      </c>
      <c r="L44" s="20" t="s">
        <v>236</v>
      </c>
      <c r="M44" s="20" t="s">
        <v>236</v>
      </c>
      <c r="N44" s="20">
        <v>1.0</v>
      </c>
      <c r="O44" s="20">
        <v>1840.0</v>
      </c>
      <c r="P44" s="20" t="s">
        <v>236</v>
      </c>
      <c r="Q44" s="20" t="s">
        <v>236</v>
      </c>
      <c r="R44" s="20">
        <v>5.0</v>
      </c>
      <c r="S44" s="20">
        <v>1609192.0</v>
      </c>
      <c r="T44" s="16">
        <f t="shared" ref="T44:U44" si="40">sum(B44,D44,F44,H44,J44,L44,N44,P44,R44)</f>
        <v>39</v>
      </c>
      <c r="U44" s="16">
        <f t="shared" si="40"/>
        <v>2374087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>
      <c r="A45" s="20" t="s">
        <v>177</v>
      </c>
      <c r="B45" s="20">
        <v>35.0</v>
      </c>
      <c r="C45" s="20">
        <v>778114.0</v>
      </c>
      <c r="D45" s="20">
        <v>25.0</v>
      </c>
      <c r="E45" s="20">
        <v>96155.0</v>
      </c>
      <c r="F45" s="20">
        <v>35.0</v>
      </c>
      <c r="G45" s="20">
        <v>267277.0</v>
      </c>
      <c r="H45" s="20">
        <v>1.0</v>
      </c>
      <c r="I45" s="20">
        <v>544.0</v>
      </c>
      <c r="J45" s="20">
        <v>80.0</v>
      </c>
      <c r="K45" s="20">
        <v>546341.0</v>
      </c>
      <c r="L45" s="20">
        <v>5.0</v>
      </c>
      <c r="M45" s="20">
        <v>150186.0</v>
      </c>
      <c r="N45" s="20">
        <v>12.0</v>
      </c>
      <c r="O45" s="20">
        <v>168838.0</v>
      </c>
      <c r="P45" s="20">
        <v>16.0</v>
      </c>
      <c r="Q45" s="20">
        <v>384469.0</v>
      </c>
      <c r="R45" s="20">
        <v>4.0</v>
      </c>
      <c r="S45" s="20">
        <v>537428.0</v>
      </c>
      <c r="T45" s="16">
        <f t="shared" ref="T45:U45" si="41">sum(B45,D45,F45,H45,J45,L45,N45,P45,R45)</f>
        <v>213</v>
      </c>
      <c r="U45" s="16">
        <f t="shared" si="41"/>
        <v>2929352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</row>
    <row r="46">
      <c r="A46" s="20" t="s">
        <v>178</v>
      </c>
      <c r="B46" s="20">
        <v>52.0</v>
      </c>
      <c r="C46" s="20">
        <v>458931.0</v>
      </c>
      <c r="D46" s="20">
        <v>9.0</v>
      </c>
      <c r="E46" s="20">
        <v>29138.0</v>
      </c>
      <c r="F46" s="20" t="s">
        <v>236</v>
      </c>
      <c r="G46" s="20" t="s">
        <v>236</v>
      </c>
      <c r="H46" s="20">
        <v>1.0</v>
      </c>
      <c r="I46" s="20">
        <v>272.0</v>
      </c>
      <c r="J46" s="20" t="s">
        <v>236</v>
      </c>
      <c r="K46" s="20" t="s">
        <v>236</v>
      </c>
      <c r="L46" s="20" t="s">
        <v>236</v>
      </c>
      <c r="M46" s="20" t="s">
        <v>236</v>
      </c>
      <c r="N46" s="20">
        <v>35.0</v>
      </c>
      <c r="O46" s="20">
        <v>151755.0</v>
      </c>
      <c r="P46" s="20" t="s">
        <v>236</v>
      </c>
      <c r="Q46" s="20" t="s">
        <v>236</v>
      </c>
      <c r="R46" s="20">
        <v>7.0</v>
      </c>
      <c r="S46" s="20">
        <v>2473953.0</v>
      </c>
      <c r="T46" s="16">
        <f t="shared" ref="T46:U46" si="42">sum(B46,D46,F46,H46,J46,L46,N46,P46,R46)</f>
        <v>104</v>
      </c>
      <c r="U46" s="16">
        <f t="shared" si="42"/>
        <v>3114049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</row>
    <row r="47">
      <c r="A47" s="20" t="s">
        <v>186</v>
      </c>
      <c r="B47" s="20" t="s">
        <v>236</v>
      </c>
      <c r="C47" s="20" t="s">
        <v>236</v>
      </c>
      <c r="D47" s="20" t="s">
        <v>236</v>
      </c>
      <c r="E47" s="20" t="s">
        <v>236</v>
      </c>
      <c r="F47" s="20" t="s">
        <v>236</v>
      </c>
      <c r="G47" s="20" t="s">
        <v>236</v>
      </c>
      <c r="H47" s="20" t="s">
        <v>236</v>
      </c>
      <c r="I47" s="20" t="s">
        <v>236</v>
      </c>
      <c r="J47" s="20">
        <v>1.0</v>
      </c>
      <c r="K47" s="20">
        <v>9911.0</v>
      </c>
      <c r="L47" s="20" t="s">
        <v>236</v>
      </c>
      <c r="M47" s="20" t="s">
        <v>236</v>
      </c>
      <c r="N47" s="20">
        <v>1.0</v>
      </c>
      <c r="O47" s="20">
        <v>2764.0</v>
      </c>
      <c r="P47" s="20">
        <v>3.0</v>
      </c>
      <c r="Q47" s="20">
        <v>1655.0</v>
      </c>
      <c r="R47" s="20" t="s">
        <v>236</v>
      </c>
      <c r="S47" s="20"/>
      <c r="T47" s="16">
        <f t="shared" ref="T47:U47" si="43">sum(B47,D47,F47,H47,J47,L47,N47,P47,R47)</f>
        <v>5</v>
      </c>
      <c r="U47" s="16">
        <f t="shared" si="43"/>
        <v>14330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</row>
    <row r="48">
      <c r="A48" s="20" t="s">
        <v>198</v>
      </c>
      <c r="B48" s="20">
        <v>23.0</v>
      </c>
      <c r="C48" s="20">
        <v>169507.0</v>
      </c>
      <c r="D48" s="20" t="s">
        <v>236</v>
      </c>
      <c r="E48" s="20" t="s">
        <v>236</v>
      </c>
      <c r="F48" s="20" t="s">
        <v>236</v>
      </c>
      <c r="G48" s="20" t="s">
        <v>236</v>
      </c>
      <c r="H48" s="20" t="s">
        <v>236</v>
      </c>
      <c r="I48" s="20" t="s">
        <v>236</v>
      </c>
      <c r="J48" s="20" t="s">
        <v>236</v>
      </c>
      <c r="K48" s="20" t="s">
        <v>236</v>
      </c>
      <c r="L48" s="20">
        <v>2.0</v>
      </c>
      <c r="M48" s="20">
        <v>23520.0</v>
      </c>
      <c r="N48" s="20">
        <v>2.0</v>
      </c>
      <c r="O48" s="20">
        <v>7678.0</v>
      </c>
      <c r="P48" s="20">
        <v>12.0</v>
      </c>
      <c r="Q48" s="20">
        <v>40464.0</v>
      </c>
      <c r="R48" s="20" t="s">
        <v>236</v>
      </c>
      <c r="S48" s="20"/>
      <c r="T48" s="16">
        <f t="shared" ref="T48:U48" si="44">sum(B48,D48,F48,H48,J48,L48,N48,P48,R48)</f>
        <v>39</v>
      </c>
      <c r="U48" s="16">
        <f t="shared" si="44"/>
        <v>241169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</row>
    <row r="49">
      <c r="A49" s="20" t="s">
        <v>191</v>
      </c>
      <c r="B49" s="20">
        <v>1.0</v>
      </c>
      <c r="C49" s="20">
        <v>86718.0</v>
      </c>
      <c r="D49" s="20">
        <v>11.0</v>
      </c>
      <c r="E49" s="20">
        <v>38479.0</v>
      </c>
      <c r="F49" s="20">
        <v>2.0</v>
      </c>
      <c r="G49" s="20">
        <v>55150.0</v>
      </c>
      <c r="H49" s="20">
        <v>1.0</v>
      </c>
      <c r="I49" s="20">
        <v>1632.0</v>
      </c>
      <c r="J49" s="20">
        <v>4.0</v>
      </c>
      <c r="K49" s="20">
        <v>227907.0</v>
      </c>
      <c r="L49" s="20">
        <v>1.0</v>
      </c>
      <c r="M49" s="20">
        <v>37500.0</v>
      </c>
      <c r="N49" s="20">
        <v>1.0</v>
      </c>
      <c r="O49" s="20">
        <v>11613.0</v>
      </c>
      <c r="P49" s="20">
        <v>4.0</v>
      </c>
      <c r="Q49" s="20">
        <v>69778.0</v>
      </c>
      <c r="R49" s="20" t="s">
        <v>236</v>
      </c>
      <c r="S49" s="20"/>
      <c r="T49" s="16">
        <f t="shared" ref="T49:U49" si="45">sum(B49,D49,F49,H49,J49,L49,N49,P49,R49)</f>
        <v>25</v>
      </c>
      <c r="U49" s="16">
        <f t="shared" si="45"/>
        <v>528777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</row>
    <row r="50">
      <c r="A50" s="20" t="s">
        <v>204</v>
      </c>
      <c r="B50" s="20" t="s">
        <v>236</v>
      </c>
      <c r="C50" s="20" t="s">
        <v>236</v>
      </c>
      <c r="D50" s="20" t="s">
        <v>236</v>
      </c>
      <c r="E50" s="20" t="s">
        <v>236</v>
      </c>
      <c r="F50" s="20" t="s">
        <v>236</v>
      </c>
      <c r="G50" s="20" t="s">
        <v>236</v>
      </c>
      <c r="H50" s="20" t="s">
        <v>236</v>
      </c>
      <c r="I50" s="20" t="s">
        <v>236</v>
      </c>
      <c r="J50" s="20">
        <v>3.0</v>
      </c>
      <c r="K50" s="20">
        <v>91375.0</v>
      </c>
      <c r="L50" s="20">
        <v>1.0</v>
      </c>
      <c r="M50" s="20">
        <v>11721.0</v>
      </c>
      <c r="N50" s="20" t="s">
        <v>236</v>
      </c>
      <c r="O50" s="20" t="s">
        <v>236</v>
      </c>
      <c r="P50" s="20">
        <v>2.0</v>
      </c>
      <c r="Q50" s="20">
        <v>3196.0</v>
      </c>
      <c r="R50" s="20" t="s">
        <v>236</v>
      </c>
      <c r="S50" s="20"/>
      <c r="T50" s="16">
        <f t="shared" ref="T50:U50" si="46">sum(B50,D50,F50,H50,J50,L50,N50,P50,R50)</f>
        <v>6</v>
      </c>
      <c r="U50" s="16">
        <f t="shared" si="46"/>
        <v>106292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</row>
    <row r="51">
      <c r="A51" s="20" t="s">
        <v>208</v>
      </c>
      <c r="B51" s="20">
        <v>1.0</v>
      </c>
      <c r="C51" s="20">
        <v>11696.0</v>
      </c>
      <c r="D51" s="20">
        <v>1.0</v>
      </c>
      <c r="E51" s="20">
        <v>668.0</v>
      </c>
      <c r="F51" s="20">
        <v>2.0</v>
      </c>
      <c r="G51" s="20">
        <v>11022.0</v>
      </c>
      <c r="H51" s="20">
        <v>1.0</v>
      </c>
      <c r="I51" s="20">
        <v>544.0</v>
      </c>
      <c r="J51" s="20">
        <v>7.0</v>
      </c>
      <c r="K51" s="20">
        <v>36423.0</v>
      </c>
      <c r="L51" s="20" t="s">
        <v>236</v>
      </c>
      <c r="M51" s="20" t="s">
        <v>236</v>
      </c>
      <c r="N51" s="20" t="s">
        <v>236</v>
      </c>
      <c r="O51" s="20" t="s">
        <v>236</v>
      </c>
      <c r="P51" s="20">
        <v>24.0</v>
      </c>
      <c r="Q51" s="20">
        <v>288902.0</v>
      </c>
      <c r="R51" s="20" t="s">
        <v>236</v>
      </c>
      <c r="S51" s="20"/>
      <c r="T51" s="16">
        <f t="shared" ref="T51:U51" si="47">sum(B51,D51,F51,H51,J51,L51,N51,P51,R51)</f>
        <v>36</v>
      </c>
      <c r="U51" s="16">
        <f t="shared" si="47"/>
        <v>349255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</row>
    <row r="52">
      <c r="A52" s="20" t="s">
        <v>237</v>
      </c>
      <c r="B52" s="20">
        <v>5.0</v>
      </c>
      <c r="C52" s="20">
        <v>13750.0</v>
      </c>
      <c r="D52" s="20">
        <v>26.0</v>
      </c>
      <c r="E52" s="20">
        <v>66865.0</v>
      </c>
      <c r="F52" s="20">
        <v>3.0</v>
      </c>
      <c r="G52" s="20">
        <v>11228.0</v>
      </c>
      <c r="H52" s="20">
        <v>1.0</v>
      </c>
      <c r="I52" s="20">
        <v>271.0</v>
      </c>
      <c r="J52" s="20">
        <v>16.0</v>
      </c>
      <c r="K52" s="20">
        <v>330748.0</v>
      </c>
      <c r="L52" s="20">
        <v>1.0</v>
      </c>
      <c r="M52" s="20">
        <v>12007.0</v>
      </c>
      <c r="N52" s="20">
        <v>6.0</v>
      </c>
      <c r="O52" s="20">
        <v>25716.0</v>
      </c>
      <c r="P52" s="20">
        <v>3.0</v>
      </c>
      <c r="Q52" s="20">
        <v>4157.0</v>
      </c>
      <c r="R52" s="20" t="s">
        <v>236</v>
      </c>
      <c r="S52" s="20"/>
      <c r="T52" s="16">
        <f t="shared" ref="T52:U52" si="48">sum(B52,D52,F52,H52,J52,L52,N52,P52,R52)</f>
        <v>61</v>
      </c>
      <c r="U52" s="16">
        <f t="shared" si="48"/>
        <v>464742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</row>
    <row r="53">
      <c r="A53" s="20" t="s">
        <v>241</v>
      </c>
      <c r="B53" s="20" t="s">
        <v>236</v>
      </c>
      <c r="C53" s="20" t="s">
        <v>236</v>
      </c>
      <c r="D53" s="20" t="s">
        <v>236</v>
      </c>
      <c r="E53" s="20" t="s">
        <v>236</v>
      </c>
      <c r="F53" s="20" t="s">
        <v>236</v>
      </c>
      <c r="G53" s="20" t="s">
        <v>236</v>
      </c>
      <c r="H53" s="20">
        <v>1.0</v>
      </c>
      <c r="I53" s="20">
        <v>269.0</v>
      </c>
      <c r="J53" s="20" t="s">
        <v>236</v>
      </c>
      <c r="K53" s="20" t="s">
        <v>236</v>
      </c>
      <c r="L53" s="20" t="s">
        <v>236</v>
      </c>
      <c r="M53" s="20" t="s">
        <v>236</v>
      </c>
      <c r="N53" s="20" t="s">
        <v>236</v>
      </c>
      <c r="O53" s="20" t="s">
        <v>236</v>
      </c>
      <c r="P53" s="20">
        <v>3.0</v>
      </c>
      <c r="Q53" s="20">
        <v>475.0</v>
      </c>
      <c r="R53" s="20" t="s">
        <v>236</v>
      </c>
      <c r="S53" s="20"/>
      <c r="T53" s="16">
        <f t="shared" ref="T53:U53" si="49">sum(B53,D53,F53,H53,J53,L53,N53,P53,R53)</f>
        <v>4</v>
      </c>
      <c r="U53" s="16">
        <f t="shared" si="49"/>
        <v>744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</row>
    <row r="54">
      <c r="A54" s="20" t="s">
        <v>251</v>
      </c>
      <c r="B54" s="20">
        <v>11.0</v>
      </c>
      <c r="C54" s="20">
        <v>74391.0</v>
      </c>
      <c r="D54" s="20">
        <v>24.0</v>
      </c>
      <c r="E54" s="20">
        <v>61017.0</v>
      </c>
      <c r="F54" s="20">
        <v>3.0</v>
      </c>
      <c r="G54" s="20">
        <v>11227.0</v>
      </c>
      <c r="H54" s="20">
        <v>1.0</v>
      </c>
      <c r="I54" s="20">
        <v>261.0</v>
      </c>
      <c r="J54" s="20">
        <v>17.0</v>
      </c>
      <c r="K54" s="20">
        <v>344443.0</v>
      </c>
      <c r="L54" s="20">
        <v>1.0</v>
      </c>
      <c r="M54" s="20">
        <v>12007.0</v>
      </c>
      <c r="N54" s="20">
        <v>6.0</v>
      </c>
      <c r="O54" s="20">
        <v>33082.0</v>
      </c>
      <c r="P54" s="20">
        <v>3.0</v>
      </c>
      <c r="Q54" s="20">
        <v>4142.0</v>
      </c>
      <c r="R54" s="20" t="s">
        <v>236</v>
      </c>
      <c r="S54" s="20"/>
      <c r="T54" s="16">
        <f t="shared" ref="T54:U54" si="50">sum(B54,D54,F54,H54,J54,L54,N54,P54,R54)</f>
        <v>66</v>
      </c>
      <c r="U54" s="16">
        <f t="shared" si="50"/>
        <v>540570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</row>
    <row r="55">
      <c r="A55" s="20" t="s">
        <v>215</v>
      </c>
      <c r="B55" s="20">
        <v>3.0</v>
      </c>
      <c r="C55" s="20">
        <v>104673.0</v>
      </c>
      <c r="D55" s="20">
        <v>4.0</v>
      </c>
      <c r="E55" s="20">
        <v>4636.0</v>
      </c>
      <c r="F55" s="20">
        <v>5.0</v>
      </c>
      <c r="G55" s="20">
        <v>15188.0</v>
      </c>
      <c r="H55" s="20" t="s">
        <v>236</v>
      </c>
      <c r="I55" s="20" t="s">
        <v>236</v>
      </c>
      <c r="J55" s="20">
        <v>4.0</v>
      </c>
      <c r="K55" s="20">
        <v>84304.0</v>
      </c>
      <c r="L55" s="20" t="s">
        <v>236</v>
      </c>
      <c r="M55" s="20" t="s">
        <v>236</v>
      </c>
      <c r="N55" s="20" t="s">
        <v>236</v>
      </c>
      <c r="O55" s="20" t="s">
        <v>236</v>
      </c>
      <c r="P55" s="20" t="s">
        <v>236</v>
      </c>
      <c r="Q55" s="20" t="s">
        <v>236</v>
      </c>
      <c r="R55" s="20">
        <v>2.0</v>
      </c>
      <c r="S55" s="20">
        <v>30201.0</v>
      </c>
      <c r="T55" s="16">
        <f t="shared" ref="T55:U55" si="51">sum(B55,D55,F55,H55,J55,L55,N55,P55,R55)</f>
        <v>18</v>
      </c>
      <c r="U55" s="16">
        <f t="shared" si="51"/>
        <v>239002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</row>
    <row r="56">
      <c r="A56" s="20" t="s">
        <v>219</v>
      </c>
      <c r="B56" s="20">
        <v>2.0</v>
      </c>
      <c r="C56" s="20">
        <v>118865.0</v>
      </c>
      <c r="D56" s="20">
        <v>2.0</v>
      </c>
      <c r="E56" s="20">
        <v>2989.0</v>
      </c>
      <c r="F56" s="20">
        <v>1.0</v>
      </c>
      <c r="G56" s="20">
        <v>4817.0</v>
      </c>
      <c r="H56" s="20" t="s">
        <v>236</v>
      </c>
      <c r="I56" s="20" t="s">
        <v>236</v>
      </c>
      <c r="J56" s="20">
        <v>3.0</v>
      </c>
      <c r="K56" s="20">
        <v>52635.0</v>
      </c>
      <c r="L56" s="20" t="s">
        <v>236</v>
      </c>
      <c r="M56" s="20" t="s">
        <v>236</v>
      </c>
      <c r="N56" s="20" t="s">
        <v>236</v>
      </c>
      <c r="O56" s="20" t="s">
        <v>236</v>
      </c>
      <c r="P56" s="20">
        <v>3.0</v>
      </c>
      <c r="Q56" s="20">
        <v>13716.0</v>
      </c>
      <c r="R56" s="20" t="s">
        <v>236</v>
      </c>
      <c r="S56" s="20"/>
      <c r="T56" s="16">
        <f t="shared" ref="T56:U56" si="52">sum(B56,D56,F56,H56,J56,L56,N56,P56,R56)</f>
        <v>11</v>
      </c>
      <c r="U56" s="16">
        <f t="shared" si="52"/>
        <v>193022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</row>
    <row r="57">
      <c r="A57" s="20" t="s">
        <v>223</v>
      </c>
      <c r="B57" s="20">
        <v>9.0</v>
      </c>
      <c r="C57" s="20">
        <v>214709.0</v>
      </c>
      <c r="D57" s="20">
        <v>12.0</v>
      </c>
      <c r="E57" s="20">
        <v>158728.0</v>
      </c>
      <c r="F57" s="20" t="s">
        <v>236</v>
      </c>
      <c r="G57" s="20" t="s">
        <v>236</v>
      </c>
      <c r="H57" s="20" t="s">
        <v>236</v>
      </c>
      <c r="I57" s="20" t="s">
        <v>236</v>
      </c>
      <c r="J57" s="20">
        <v>2.0</v>
      </c>
      <c r="K57" s="20">
        <v>24124.0</v>
      </c>
      <c r="L57" s="20" t="s">
        <v>236</v>
      </c>
      <c r="M57" s="20" t="s">
        <v>236</v>
      </c>
      <c r="N57" s="20">
        <v>9.0</v>
      </c>
      <c r="O57" s="20">
        <v>82884.0</v>
      </c>
      <c r="P57" s="20">
        <v>3.0</v>
      </c>
      <c r="Q57" s="20">
        <v>70631.0</v>
      </c>
      <c r="R57" s="20" t="s">
        <v>236</v>
      </c>
      <c r="S57" s="20"/>
      <c r="T57" s="16">
        <f t="shared" ref="T57:U57" si="53">sum(B57,D57,F57,H57,J57,L57,N57,P57,R57)</f>
        <v>35</v>
      </c>
      <c r="U57" s="16">
        <f t="shared" si="53"/>
        <v>551076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>
      <c r="A58" s="20" t="s">
        <v>225</v>
      </c>
      <c r="B58" s="20">
        <v>2.0</v>
      </c>
      <c r="C58" s="20">
        <v>250531.0</v>
      </c>
      <c r="D58" s="20">
        <v>4.0</v>
      </c>
      <c r="E58" s="20">
        <v>131250.0</v>
      </c>
      <c r="F58" s="20">
        <v>3.0</v>
      </c>
      <c r="G58" s="20">
        <v>94710.0</v>
      </c>
      <c r="H58" s="20" t="s">
        <v>236</v>
      </c>
      <c r="I58" s="20" t="s">
        <v>236</v>
      </c>
      <c r="J58" s="20">
        <v>4.0</v>
      </c>
      <c r="K58" s="20">
        <v>89132.0</v>
      </c>
      <c r="L58" s="20" t="s">
        <v>236</v>
      </c>
      <c r="M58" s="20" t="s">
        <v>236</v>
      </c>
      <c r="N58" s="20">
        <v>9.0</v>
      </c>
      <c r="O58" s="20">
        <v>98195.0</v>
      </c>
      <c r="P58" s="20">
        <v>8.0</v>
      </c>
      <c r="Q58" s="20">
        <v>244130.0</v>
      </c>
      <c r="R58" s="20">
        <v>3.0</v>
      </c>
      <c r="S58" s="20">
        <v>2509237.0</v>
      </c>
      <c r="T58" s="16">
        <f t="shared" ref="T58:U58" si="54">sum(B58,D58,F58,H58,J58,L58,N58,P58,R58)</f>
        <v>33</v>
      </c>
      <c r="U58" s="16">
        <f t="shared" si="54"/>
        <v>3417185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</row>
    <row r="59">
      <c r="A59" s="20" t="s">
        <v>230</v>
      </c>
      <c r="B59" s="20">
        <v>9.0</v>
      </c>
      <c r="C59" s="20">
        <v>66457.0</v>
      </c>
      <c r="D59" s="20">
        <v>2.0</v>
      </c>
      <c r="E59" s="20">
        <v>6434.0</v>
      </c>
      <c r="F59" s="20">
        <v>1.0</v>
      </c>
      <c r="G59" s="20">
        <v>3138.0</v>
      </c>
      <c r="H59" s="20" t="s">
        <v>236</v>
      </c>
      <c r="I59" s="20" t="s">
        <v>236</v>
      </c>
      <c r="J59" s="20">
        <v>14.0</v>
      </c>
      <c r="K59" s="20">
        <v>390940.0</v>
      </c>
      <c r="L59" s="20">
        <v>1.0</v>
      </c>
      <c r="M59" s="20">
        <v>12510.0</v>
      </c>
      <c r="N59" s="20">
        <v>3.0</v>
      </c>
      <c r="O59" s="20">
        <v>8062.0</v>
      </c>
      <c r="P59" s="20">
        <v>13.0</v>
      </c>
      <c r="Q59" s="20">
        <v>37371.0</v>
      </c>
      <c r="R59" s="20" t="s">
        <v>236</v>
      </c>
      <c r="S59" s="20"/>
      <c r="T59" s="16">
        <f t="shared" ref="T59:U59" si="55">sum(B59,D59,F59,H59,J59,L59,N59,P59,R59)</f>
        <v>43</v>
      </c>
      <c r="U59" s="16">
        <f t="shared" si="55"/>
        <v>524912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</row>
    <row r="60">
      <c r="A60" s="20" t="s">
        <v>233</v>
      </c>
      <c r="B60" s="20" t="s">
        <v>236</v>
      </c>
      <c r="C60" s="20" t="s">
        <v>236</v>
      </c>
      <c r="D60" s="20" t="s">
        <v>236</v>
      </c>
      <c r="E60" s="20" t="s">
        <v>236</v>
      </c>
      <c r="F60" s="20" t="s">
        <v>236</v>
      </c>
      <c r="G60" s="20" t="s">
        <v>236</v>
      </c>
      <c r="H60" s="20" t="s">
        <v>236</v>
      </c>
      <c r="I60" s="20" t="s">
        <v>236</v>
      </c>
      <c r="J60" s="20">
        <v>2.0</v>
      </c>
      <c r="K60" s="20">
        <v>32164.0</v>
      </c>
      <c r="L60" s="20">
        <v>1.0</v>
      </c>
      <c r="M60" s="20">
        <v>12300.0</v>
      </c>
      <c r="N60" s="20">
        <v>1.0</v>
      </c>
      <c r="O60" s="20">
        <v>3811.0</v>
      </c>
      <c r="P60" s="20" t="s">
        <v>236</v>
      </c>
      <c r="Q60" s="20" t="s">
        <v>236</v>
      </c>
      <c r="R60" s="20" t="s">
        <v>236</v>
      </c>
      <c r="S60" s="20"/>
      <c r="T60" s="16">
        <f t="shared" ref="T60:U60" si="56">sum(B60,D60,F60,H60,J60,L60,N60,P60,R60)</f>
        <v>4</v>
      </c>
      <c r="U60" s="16">
        <f t="shared" si="56"/>
        <v>48275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>
      <c r="A61" s="20" t="s">
        <v>245</v>
      </c>
      <c r="B61" s="20">
        <v>2.0</v>
      </c>
      <c r="C61" s="20">
        <v>15778.0</v>
      </c>
      <c r="D61" s="20">
        <v>5.0</v>
      </c>
      <c r="E61" s="20">
        <v>10916.0</v>
      </c>
      <c r="F61" s="20">
        <v>4.0</v>
      </c>
      <c r="G61" s="20">
        <v>14677.0</v>
      </c>
      <c r="H61" s="20" t="s">
        <v>236</v>
      </c>
      <c r="I61" s="20" t="s">
        <v>236</v>
      </c>
      <c r="J61" s="20">
        <v>9.0</v>
      </c>
      <c r="K61" s="20">
        <v>188397.0</v>
      </c>
      <c r="L61" s="20" t="s">
        <v>236</v>
      </c>
      <c r="M61" s="20" t="s">
        <v>236</v>
      </c>
      <c r="N61" s="20" t="s">
        <v>236</v>
      </c>
      <c r="O61" s="20" t="s">
        <v>236</v>
      </c>
      <c r="P61" s="20">
        <v>4.0</v>
      </c>
      <c r="Q61" s="20">
        <v>8936.0</v>
      </c>
      <c r="R61" s="20">
        <v>1.0</v>
      </c>
      <c r="S61" s="20">
        <v>15167.0</v>
      </c>
      <c r="T61" s="16">
        <f t="shared" ref="T61:U61" si="57">sum(B61,D61,F61,H61,J61,L61,N61,P61,R61)</f>
        <v>25</v>
      </c>
      <c r="U61" s="16">
        <f t="shared" si="57"/>
        <v>253871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>
      <c r="A62" s="20" t="s">
        <v>248</v>
      </c>
      <c r="B62" s="20">
        <v>18.0</v>
      </c>
      <c r="C62" s="20">
        <v>1574716.0</v>
      </c>
      <c r="D62" s="20">
        <v>12.0</v>
      </c>
      <c r="E62" s="20">
        <v>40644.0</v>
      </c>
      <c r="F62" s="20">
        <v>2.0</v>
      </c>
      <c r="G62" s="20">
        <v>5062.0</v>
      </c>
      <c r="H62" s="20" t="s">
        <v>236</v>
      </c>
      <c r="I62" s="20" t="s">
        <v>236</v>
      </c>
      <c r="J62" s="20">
        <v>122.0</v>
      </c>
      <c r="K62" s="20">
        <v>2740115.0</v>
      </c>
      <c r="L62" s="20" t="s">
        <v>236</v>
      </c>
      <c r="M62" s="20" t="s">
        <v>236</v>
      </c>
      <c r="N62" s="20" t="s">
        <v>236</v>
      </c>
      <c r="O62" s="20" t="s">
        <v>236</v>
      </c>
      <c r="P62" s="20">
        <v>2.0</v>
      </c>
      <c r="Q62" s="20">
        <v>8534.0</v>
      </c>
      <c r="R62" s="20">
        <v>3.0</v>
      </c>
      <c r="S62" s="20">
        <v>1018181.0</v>
      </c>
      <c r="T62" s="16">
        <f t="shared" ref="T62:U62" si="58">sum(B62,D62,F62,H62,J62,L62,N62,P62,R62)</f>
        <v>159</v>
      </c>
      <c r="U62" s="16">
        <f t="shared" si="58"/>
        <v>5387252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>
      <c r="A63" s="20" t="s">
        <v>254</v>
      </c>
      <c r="B63" s="20" t="s">
        <v>236</v>
      </c>
      <c r="C63" s="20" t="s">
        <v>236</v>
      </c>
      <c r="D63" s="20" t="s">
        <v>236</v>
      </c>
      <c r="E63" s="20" t="s">
        <v>236</v>
      </c>
      <c r="F63" s="20" t="s">
        <v>236</v>
      </c>
      <c r="G63" s="20" t="s">
        <v>236</v>
      </c>
      <c r="H63" s="20" t="s">
        <v>236</v>
      </c>
      <c r="I63" s="20" t="s">
        <v>236</v>
      </c>
      <c r="J63" s="20" t="s">
        <v>236</v>
      </c>
      <c r="K63" s="20" t="s">
        <v>236</v>
      </c>
      <c r="L63" s="20" t="s">
        <v>236</v>
      </c>
      <c r="M63" s="20" t="s">
        <v>236</v>
      </c>
      <c r="N63" s="20" t="s">
        <v>236</v>
      </c>
      <c r="O63" s="20" t="s">
        <v>236</v>
      </c>
      <c r="P63" s="20">
        <v>2.0</v>
      </c>
      <c r="Q63" s="20">
        <v>10923.0</v>
      </c>
      <c r="R63" s="20" t="s">
        <v>236</v>
      </c>
      <c r="S63" s="20"/>
      <c r="T63" s="16">
        <f t="shared" ref="T63:U63" si="59">sum(B63,D63,F63,H63,J63,L63,N63,P63,R63)</f>
        <v>2</v>
      </c>
      <c r="U63" s="16">
        <f t="shared" si="59"/>
        <v>10923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>
      <c r="A64" s="20" t="s">
        <v>259</v>
      </c>
      <c r="B64" s="20">
        <v>14.0</v>
      </c>
      <c r="C64" s="20">
        <v>144526.0</v>
      </c>
      <c r="D64" s="20">
        <v>4.0</v>
      </c>
      <c r="E64" s="20">
        <v>13512.0</v>
      </c>
      <c r="F64" s="20">
        <v>4.0</v>
      </c>
      <c r="G64" s="20">
        <v>14708.0</v>
      </c>
      <c r="H64" s="20" t="s">
        <v>236</v>
      </c>
      <c r="I64" s="20" t="s">
        <v>236</v>
      </c>
      <c r="J64" s="20">
        <v>83.0</v>
      </c>
      <c r="K64" s="20">
        <v>2015794.0</v>
      </c>
      <c r="L64" s="20" t="s">
        <v>236</v>
      </c>
      <c r="M64" s="20" t="s">
        <v>236</v>
      </c>
      <c r="N64" s="20">
        <v>4.0</v>
      </c>
      <c r="O64" s="20">
        <v>10187.0</v>
      </c>
      <c r="P64" s="20">
        <v>1.0</v>
      </c>
      <c r="Q64" s="20">
        <v>184.0</v>
      </c>
      <c r="R64" s="20">
        <v>1.0</v>
      </c>
      <c r="S64" s="20">
        <v>15759.0</v>
      </c>
      <c r="T64" s="16">
        <f t="shared" ref="T64:U64" si="60">sum(B64,D64,F64,H64,J64,L64,N64,P64,R64)</f>
        <v>111</v>
      </c>
      <c r="U64" s="16">
        <f t="shared" si="60"/>
        <v>2214670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>
      <c r="A65" s="20" t="s">
        <v>262</v>
      </c>
      <c r="B65" s="20">
        <v>28.0</v>
      </c>
      <c r="C65" s="20">
        <v>293497.0</v>
      </c>
      <c r="D65" s="20">
        <v>10.0</v>
      </c>
      <c r="E65" s="20">
        <v>33807.0</v>
      </c>
      <c r="F65" s="20">
        <v>4.0</v>
      </c>
      <c r="G65" s="20">
        <v>14783.0</v>
      </c>
      <c r="H65" s="20" t="s">
        <v>236</v>
      </c>
      <c r="I65" s="20" t="s">
        <v>236</v>
      </c>
      <c r="J65" s="20">
        <v>52.0</v>
      </c>
      <c r="K65" s="20">
        <v>1164075.0</v>
      </c>
      <c r="L65" s="20">
        <v>1.0</v>
      </c>
      <c r="M65" s="20">
        <v>12510.0</v>
      </c>
      <c r="N65" s="20">
        <v>12.0</v>
      </c>
      <c r="O65" s="20">
        <v>32995.0</v>
      </c>
      <c r="P65" s="20">
        <v>16.0</v>
      </c>
      <c r="Q65" s="20">
        <v>60439.0</v>
      </c>
      <c r="R65" s="20">
        <v>3.0</v>
      </c>
      <c r="S65" s="20">
        <v>46672.0</v>
      </c>
      <c r="T65" s="16">
        <f t="shared" ref="T65:U65" si="61">sum(B65,D65,F65,H65,J65,L65,N65,P65,R65)</f>
        <v>126</v>
      </c>
      <c r="U65" s="16">
        <f t="shared" si="61"/>
        <v>1658778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>
      <c r="A66" s="20" t="s">
        <v>265</v>
      </c>
      <c r="B66" s="20">
        <v>43.0</v>
      </c>
      <c r="C66" s="20">
        <v>352157.0</v>
      </c>
      <c r="D66" s="20">
        <v>25.0</v>
      </c>
      <c r="E66" s="20">
        <v>60109.0</v>
      </c>
      <c r="F66" s="20">
        <v>76.0</v>
      </c>
      <c r="G66" s="20">
        <v>207281.0</v>
      </c>
      <c r="H66" s="20">
        <v>1.0</v>
      </c>
      <c r="I66" s="20">
        <v>272.0</v>
      </c>
      <c r="J66" s="20">
        <v>51.0</v>
      </c>
      <c r="K66" s="20">
        <v>1359812.0</v>
      </c>
      <c r="L66" s="20">
        <v>2.0</v>
      </c>
      <c r="M66" s="20">
        <v>24802.0</v>
      </c>
      <c r="N66" s="20">
        <v>11.0</v>
      </c>
      <c r="O66" s="20">
        <v>113548.0</v>
      </c>
      <c r="P66" s="20">
        <v>41.0</v>
      </c>
      <c r="Q66" s="20">
        <v>125877.0</v>
      </c>
      <c r="R66" s="20">
        <v>2.0</v>
      </c>
      <c r="S66" s="20">
        <v>172893.0</v>
      </c>
      <c r="T66" s="16">
        <f t="shared" ref="T66:U66" si="62">sum(B66,D66,F66,H66,J66,L66,N66,P66,R66)</f>
        <v>252</v>
      </c>
      <c r="U66" s="16">
        <f t="shared" si="62"/>
        <v>2416751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>
      <c r="A67" s="20" t="s">
        <v>270</v>
      </c>
      <c r="B67" s="20">
        <v>19.0</v>
      </c>
      <c r="C67" s="20">
        <v>162632.0</v>
      </c>
      <c r="D67" s="20">
        <v>13.0</v>
      </c>
      <c r="E67" s="20">
        <v>33036.0</v>
      </c>
      <c r="F67" s="20">
        <v>9.0</v>
      </c>
      <c r="G67" s="20">
        <v>39071.0</v>
      </c>
      <c r="H67" s="20">
        <v>1.0</v>
      </c>
      <c r="I67" s="20">
        <v>272.0</v>
      </c>
      <c r="J67" s="20">
        <v>84.0</v>
      </c>
      <c r="K67" s="20">
        <v>1893232.0</v>
      </c>
      <c r="L67" s="20">
        <v>1.0</v>
      </c>
      <c r="M67" s="20">
        <v>12504.0</v>
      </c>
      <c r="N67" s="20">
        <v>10.0</v>
      </c>
      <c r="O67" s="20">
        <v>43301.0</v>
      </c>
      <c r="P67" s="20">
        <v>13.0</v>
      </c>
      <c r="Q67" s="20">
        <v>34249.0</v>
      </c>
      <c r="R67" s="20">
        <v>3.0</v>
      </c>
      <c r="S67" s="20">
        <v>621786.0</v>
      </c>
      <c r="T67" s="16">
        <f t="shared" ref="T67:U67" si="63">sum(B67,D67,F67,H67,J67,L67,N67,P67,R67)</f>
        <v>153</v>
      </c>
      <c r="U67" s="16">
        <f t="shared" si="63"/>
        <v>2840083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>
      <c r="A68" s="20" t="s">
        <v>276</v>
      </c>
      <c r="B68" s="20">
        <v>7.0</v>
      </c>
      <c r="C68" s="20">
        <v>119990.0</v>
      </c>
      <c r="D68" s="20">
        <v>1.0</v>
      </c>
      <c r="E68" s="20">
        <v>10746.0</v>
      </c>
      <c r="F68" s="20">
        <v>4.0</v>
      </c>
      <c r="G68" s="20">
        <v>20115.0</v>
      </c>
      <c r="H68" s="20" t="s">
        <v>236</v>
      </c>
      <c r="I68" s="20" t="s">
        <v>236</v>
      </c>
      <c r="J68" s="20">
        <v>22.0</v>
      </c>
      <c r="K68" s="20">
        <v>606133.0</v>
      </c>
      <c r="L68" s="20">
        <v>1.0</v>
      </c>
      <c r="M68" s="20">
        <v>12420.0</v>
      </c>
      <c r="N68" s="20">
        <v>1.0</v>
      </c>
      <c r="O68" s="20">
        <v>3746.0</v>
      </c>
      <c r="P68" s="20">
        <v>2.0</v>
      </c>
      <c r="Q68" s="20">
        <v>9168.0</v>
      </c>
      <c r="R68" s="20">
        <v>2.0</v>
      </c>
      <c r="S68" s="20">
        <v>213421.0</v>
      </c>
      <c r="T68" s="16">
        <f t="shared" ref="T68:U68" si="64">sum(B68,D68,F68,H68,J68,L68,N68,P68,R68)</f>
        <v>40</v>
      </c>
      <c r="U68" s="16">
        <f t="shared" si="64"/>
        <v>995739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>
      <c r="A69" s="20" t="s">
        <v>279</v>
      </c>
      <c r="B69" s="20">
        <v>8.0</v>
      </c>
      <c r="C69" s="20">
        <v>63198.0</v>
      </c>
      <c r="D69" s="20">
        <v>1.0</v>
      </c>
      <c r="E69" s="20">
        <v>3582.0</v>
      </c>
      <c r="F69" s="20">
        <v>4.0</v>
      </c>
      <c r="G69" s="20">
        <v>14668.0</v>
      </c>
      <c r="H69" s="20" t="s">
        <v>236</v>
      </c>
      <c r="I69" s="20" t="s">
        <v>236</v>
      </c>
      <c r="J69" s="20">
        <v>9.0</v>
      </c>
      <c r="K69" s="20">
        <v>327679.0</v>
      </c>
      <c r="L69" s="20">
        <v>1.0</v>
      </c>
      <c r="M69" s="20">
        <v>12420.0</v>
      </c>
      <c r="N69" s="20">
        <v>1.0</v>
      </c>
      <c r="O69" s="20">
        <v>3746.0</v>
      </c>
      <c r="P69" s="20">
        <v>2.0</v>
      </c>
      <c r="Q69" s="20">
        <v>3655.0</v>
      </c>
      <c r="R69" s="20">
        <v>2.0</v>
      </c>
      <c r="S69" s="20">
        <v>213462.0</v>
      </c>
      <c r="T69" s="16">
        <f t="shared" ref="T69:U69" si="65">sum(B69,D69,F69,H69,J69,L69,N69,P69,R69)</f>
        <v>28</v>
      </c>
      <c r="U69" s="16">
        <f t="shared" si="65"/>
        <v>642410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>
      <c r="A70" s="20" t="s">
        <v>282</v>
      </c>
      <c r="B70" s="20">
        <v>4.0</v>
      </c>
      <c r="C70" s="20">
        <v>8921.0</v>
      </c>
      <c r="D70" s="20" t="s">
        <v>236</v>
      </c>
      <c r="E70" s="20" t="s">
        <v>236</v>
      </c>
      <c r="F70" s="20" t="s">
        <v>236</v>
      </c>
      <c r="G70" s="20" t="s">
        <v>236</v>
      </c>
      <c r="H70" s="20" t="s">
        <v>236</v>
      </c>
      <c r="I70" s="20" t="s">
        <v>236</v>
      </c>
      <c r="J70" s="20">
        <v>4.0</v>
      </c>
      <c r="K70" s="20">
        <v>104335.0</v>
      </c>
      <c r="L70" s="20">
        <v>1.0</v>
      </c>
      <c r="M70" s="20">
        <v>12467.0</v>
      </c>
      <c r="N70" s="20">
        <v>10.0</v>
      </c>
      <c r="O70" s="20">
        <v>26755.0</v>
      </c>
      <c r="P70" s="20">
        <v>3.0</v>
      </c>
      <c r="Q70" s="20">
        <v>10326.0</v>
      </c>
      <c r="R70" s="20" t="s">
        <v>236</v>
      </c>
      <c r="S70" s="20"/>
      <c r="T70" s="16">
        <f t="shared" ref="T70:U70" si="66">sum(B70,D70,F70,H70,J70,L70,N70,P70,R70)</f>
        <v>22</v>
      </c>
      <c r="U70" s="16">
        <f t="shared" si="66"/>
        <v>162804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>
      <c r="A71" s="20" t="s">
        <v>288</v>
      </c>
      <c r="B71" s="20">
        <v>5.0</v>
      </c>
      <c r="C71" s="20">
        <v>54810.0</v>
      </c>
      <c r="D71" s="20">
        <v>10.0</v>
      </c>
      <c r="E71" s="20">
        <v>33281.0</v>
      </c>
      <c r="F71" s="20">
        <v>4.0</v>
      </c>
      <c r="G71" s="20">
        <v>14989.0</v>
      </c>
      <c r="H71" s="20" t="s">
        <v>236</v>
      </c>
      <c r="I71" s="20" t="s">
        <v>236</v>
      </c>
      <c r="J71" s="20">
        <v>27.0</v>
      </c>
      <c r="K71" s="20">
        <v>577172.0</v>
      </c>
      <c r="L71" s="20">
        <v>1.0</v>
      </c>
      <c r="M71" s="20">
        <v>12485.0</v>
      </c>
      <c r="N71" s="20">
        <v>4.0</v>
      </c>
      <c r="O71" s="20">
        <v>11748.0</v>
      </c>
      <c r="P71" s="20">
        <v>7.0</v>
      </c>
      <c r="Q71" s="20">
        <v>28176.0</v>
      </c>
      <c r="R71" s="20">
        <v>1.0</v>
      </c>
      <c r="S71" s="20">
        <v>379632.0</v>
      </c>
      <c r="T71" s="16">
        <f t="shared" ref="T71:U71" si="67">sum(B71,D71,F71,H71,J71,L71,N71,P71,R71)</f>
        <v>59</v>
      </c>
      <c r="U71" s="16">
        <f t="shared" si="67"/>
        <v>1112293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>
      <c r="A72" s="20" t="s">
        <v>292</v>
      </c>
      <c r="B72" s="20">
        <v>22.0</v>
      </c>
      <c r="C72" s="20">
        <v>495640.0</v>
      </c>
      <c r="D72" s="20">
        <v>5.0</v>
      </c>
      <c r="E72" s="20">
        <v>8826.0</v>
      </c>
      <c r="F72" s="20">
        <v>4.0</v>
      </c>
      <c r="G72" s="20">
        <v>33470.0</v>
      </c>
      <c r="H72" s="20" t="s">
        <v>236</v>
      </c>
      <c r="I72" s="20" t="s">
        <v>236</v>
      </c>
      <c r="J72" s="20">
        <v>3.0</v>
      </c>
      <c r="K72" s="20">
        <v>91014.0</v>
      </c>
      <c r="L72" s="20" t="s">
        <v>236</v>
      </c>
      <c r="M72" s="20" t="s">
        <v>236</v>
      </c>
      <c r="N72" s="20">
        <v>4.0</v>
      </c>
      <c r="O72" s="20">
        <v>52210.0</v>
      </c>
      <c r="P72" s="20">
        <v>6.0</v>
      </c>
      <c r="Q72" s="20">
        <v>70198.0</v>
      </c>
      <c r="R72" s="20">
        <v>8.0</v>
      </c>
      <c r="S72" s="20">
        <v>363960.0</v>
      </c>
      <c r="T72" s="16">
        <f t="shared" ref="T72:U72" si="68">sum(B72,D72,F72,H72,J72,L72,N72,P72,R72)</f>
        <v>52</v>
      </c>
      <c r="U72" s="16">
        <f t="shared" si="68"/>
        <v>1115318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>
      <c r="A73" s="20" t="s">
        <v>296</v>
      </c>
      <c r="B73" s="20">
        <v>8.0</v>
      </c>
      <c r="C73" s="20">
        <v>162076.0</v>
      </c>
      <c r="D73" s="20" t="s">
        <v>236</v>
      </c>
      <c r="E73" s="20" t="s">
        <v>236</v>
      </c>
      <c r="F73" s="20">
        <v>5.0</v>
      </c>
      <c r="G73" s="20">
        <v>36495.0</v>
      </c>
      <c r="H73" s="20">
        <v>1.0</v>
      </c>
      <c r="I73" s="20">
        <v>544.0</v>
      </c>
      <c r="J73" s="20">
        <v>12.0</v>
      </c>
      <c r="K73" s="20">
        <v>63198.0</v>
      </c>
      <c r="L73" s="20" t="s">
        <v>236</v>
      </c>
      <c r="M73" s="20" t="s">
        <v>236</v>
      </c>
      <c r="N73" s="20">
        <v>11.0</v>
      </c>
      <c r="O73" s="20">
        <v>24803.0</v>
      </c>
      <c r="P73" s="20" t="s">
        <v>236</v>
      </c>
      <c r="Q73" s="20" t="s">
        <v>236</v>
      </c>
      <c r="R73" s="20">
        <v>3.0</v>
      </c>
      <c r="S73" s="20">
        <v>850918.0</v>
      </c>
      <c r="T73" s="16">
        <f t="shared" ref="T73:U73" si="69">sum(B73,D73,F73,H73,J73,L73,N73,P73,R73)</f>
        <v>40</v>
      </c>
      <c r="U73" s="16">
        <f t="shared" si="69"/>
        <v>1138034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>
      <c r="A74" s="20" t="s">
        <v>299</v>
      </c>
      <c r="B74" s="20">
        <v>12.0</v>
      </c>
      <c r="C74" s="20">
        <v>177628.0</v>
      </c>
      <c r="D74" s="20">
        <v>2.0</v>
      </c>
      <c r="E74" s="20">
        <v>0.0</v>
      </c>
      <c r="F74" s="20">
        <v>4.0</v>
      </c>
      <c r="G74" s="20">
        <v>32958.0</v>
      </c>
      <c r="H74" s="20">
        <v>1.0</v>
      </c>
      <c r="I74" s="20">
        <v>544.0</v>
      </c>
      <c r="J74" s="20">
        <v>11.0</v>
      </c>
      <c r="K74" s="20">
        <v>50156.0</v>
      </c>
      <c r="L74" s="20" t="s">
        <v>236</v>
      </c>
      <c r="M74" s="20" t="s">
        <v>236</v>
      </c>
      <c r="N74" s="20">
        <v>9.0</v>
      </c>
      <c r="O74" s="20">
        <v>21436.0</v>
      </c>
      <c r="P74" s="20">
        <v>5.0</v>
      </c>
      <c r="Q74" s="20">
        <v>28158.0</v>
      </c>
      <c r="R74" s="20">
        <v>2.0</v>
      </c>
      <c r="S74" s="20">
        <v>288734.0</v>
      </c>
      <c r="T74" s="16">
        <f t="shared" ref="T74:U74" si="70">sum(B74,D74,F74,H74,J74,L74,N74,P74,R74)</f>
        <v>46</v>
      </c>
      <c r="U74" s="16">
        <f t="shared" si="70"/>
        <v>599614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>
      <c r="A75" s="20" t="s">
        <v>302</v>
      </c>
      <c r="B75" s="20">
        <v>26.0</v>
      </c>
      <c r="C75" s="20">
        <v>447008.0</v>
      </c>
      <c r="D75" s="20">
        <v>14.0</v>
      </c>
      <c r="E75" s="20">
        <v>9748.0</v>
      </c>
      <c r="F75" s="20">
        <v>2.0</v>
      </c>
      <c r="G75" s="20">
        <v>10800.0</v>
      </c>
      <c r="H75" s="20" t="s">
        <v>236</v>
      </c>
      <c r="I75" s="20" t="s">
        <v>236</v>
      </c>
      <c r="J75" s="20">
        <v>77.0</v>
      </c>
      <c r="K75" s="20">
        <v>798690.0</v>
      </c>
      <c r="L75" s="20" t="s">
        <v>236</v>
      </c>
      <c r="M75" s="20" t="s">
        <v>236</v>
      </c>
      <c r="N75" s="20" t="s">
        <v>236</v>
      </c>
      <c r="O75" s="20" t="s">
        <v>236</v>
      </c>
      <c r="P75" s="20">
        <v>6.0</v>
      </c>
      <c r="Q75" s="20">
        <v>264105.0</v>
      </c>
      <c r="R75" s="20">
        <v>1.0</v>
      </c>
      <c r="S75" s="20">
        <v>13602.0</v>
      </c>
      <c r="T75" s="16">
        <f t="shared" ref="T75:U75" si="71">sum(B75,D75,F75,H75,J75,L75,N75,P75,R75)</f>
        <v>126</v>
      </c>
      <c r="U75" s="16">
        <f t="shared" si="71"/>
        <v>1543953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>
      <c r="A76" s="20" t="s">
        <v>306</v>
      </c>
      <c r="B76" s="20">
        <v>21.0</v>
      </c>
      <c r="C76" s="20">
        <v>400625.0</v>
      </c>
      <c r="D76" s="20">
        <v>2.0</v>
      </c>
      <c r="E76" s="20">
        <v>1306.0</v>
      </c>
      <c r="F76" s="20">
        <v>11.0</v>
      </c>
      <c r="G76" s="20">
        <v>89443.0</v>
      </c>
      <c r="H76" s="20">
        <v>1.0</v>
      </c>
      <c r="I76" s="20">
        <v>544.0</v>
      </c>
      <c r="J76" s="20">
        <v>31.0</v>
      </c>
      <c r="K76" s="20">
        <v>142887.0</v>
      </c>
      <c r="L76" s="20">
        <v>1.0</v>
      </c>
      <c r="M76" s="20">
        <v>24998.0</v>
      </c>
      <c r="N76" s="20">
        <v>7.0</v>
      </c>
      <c r="O76" s="20">
        <v>118653.0</v>
      </c>
      <c r="P76" s="20">
        <v>1.0</v>
      </c>
      <c r="Q76" s="20">
        <v>4725.0</v>
      </c>
      <c r="R76" s="20">
        <v>13.0</v>
      </c>
      <c r="S76" s="20">
        <v>1771615.0</v>
      </c>
      <c r="T76" s="16">
        <f t="shared" ref="T76:U76" si="72">sum(B76,D76,F76,H76,J76,L76,N76,P76,R76)</f>
        <v>88</v>
      </c>
      <c r="U76" s="16">
        <f t="shared" si="72"/>
        <v>2554796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>
      <c r="A77" s="20" t="s">
        <v>309</v>
      </c>
      <c r="B77" s="20">
        <v>51.0</v>
      </c>
      <c r="C77" s="20">
        <v>2686680.0</v>
      </c>
      <c r="D77" s="20">
        <v>11.0</v>
      </c>
      <c r="E77" s="20">
        <v>4836.0</v>
      </c>
      <c r="F77" s="20">
        <v>12.0</v>
      </c>
      <c r="G77" s="20">
        <v>102144.0</v>
      </c>
      <c r="H77" s="20">
        <v>1.0</v>
      </c>
      <c r="I77" s="20">
        <v>544.0</v>
      </c>
      <c r="J77" s="20">
        <v>94.0</v>
      </c>
      <c r="K77" s="20">
        <v>793096.0</v>
      </c>
      <c r="L77" s="20">
        <v>2.0</v>
      </c>
      <c r="M77" s="20">
        <v>49844.0</v>
      </c>
      <c r="N77" s="20">
        <v>12.0</v>
      </c>
      <c r="O77" s="20">
        <v>275032.0</v>
      </c>
      <c r="P77" s="20">
        <v>7.0</v>
      </c>
      <c r="Q77" s="20">
        <v>218026.0</v>
      </c>
      <c r="R77" s="20">
        <v>3.0</v>
      </c>
      <c r="S77" s="20">
        <v>586304.0</v>
      </c>
      <c r="T77" s="16">
        <f t="shared" ref="T77:U77" si="73">sum(B77,D77,F77,H77,J77,L77,N77,P77,R77)</f>
        <v>193</v>
      </c>
      <c r="U77" s="16">
        <f t="shared" si="73"/>
        <v>4716506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>
      <c r="A78" s="20" t="s">
        <v>310</v>
      </c>
      <c r="B78" s="20">
        <v>23.0</v>
      </c>
      <c r="C78" s="20">
        <v>632945.0</v>
      </c>
      <c r="D78" s="20">
        <v>23.0</v>
      </c>
      <c r="E78" s="20">
        <v>93630.0</v>
      </c>
      <c r="F78" s="20">
        <v>26.0</v>
      </c>
      <c r="G78" s="20">
        <v>220607.0</v>
      </c>
      <c r="H78" s="20">
        <v>1.0</v>
      </c>
      <c r="I78" s="20">
        <v>544.0</v>
      </c>
      <c r="J78" s="20">
        <v>13.0</v>
      </c>
      <c r="K78" s="20">
        <v>156528.0</v>
      </c>
      <c r="L78" s="20" t="s">
        <v>236</v>
      </c>
      <c r="M78" s="20" t="s">
        <v>236</v>
      </c>
      <c r="N78" s="20">
        <v>11.0</v>
      </c>
      <c r="O78" s="20">
        <v>154995.0</v>
      </c>
      <c r="P78" s="20">
        <v>13.0</v>
      </c>
      <c r="Q78" s="20">
        <v>289242.0</v>
      </c>
      <c r="R78" s="20">
        <v>4.0</v>
      </c>
      <c r="S78" s="20">
        <v>717346.0</v>
      </c>
      <c r="T78" s="16">
        <f t="shared" ref="T78:U78" si="74">sum(B78,D78,F78,H78,J78,L78,N78,P78,R78)</f>
        <v>114</v>
      </c>
      <c r="U78" s="16">
        <f t="shared" si="74"/>
        <v>2265837</v>
      </c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>
      <c r="A79" s="20" t="s">
        <v>311</v>
      </c>
      <c r="B79" s="20">
        <v>18.0</v>
      </c>
      <c r="C79" s="20">
        <v>372002.0</v>
      </c>
      <c r="D79" s="20">
        <v>19.0</v>
      </c>
      <c r="E79" s="20">
        <v>25776.0</v>
      </c>
      <c r="F79" s="20">
        <v>22.0</v>
      </c>
      <c r="G79" s="20">
        <v>165194.0</v>
      </c>
      <c r="H79" s="20" t="s">
        <v>236</v>
      </c>
      <c r="I79" s="20" t="s">
        <v>236</v>
      </c>
      <c r="J79" s="20">
        <v>54.0</v>
      </c>
      <c r="K79" s="20">
        <v>489059.0</v>
      </c>
      <c r="L79" s="20">
        <v>2.0</v>
      </c>
      <c r="M79" s="20">
        <v>40160.0</v>
      </c>
      <c r="N79" s="20">
        <v>9.0</v>
      </c>
      <c r="O79" s="20">
        <v>219048.0</v>
      </c>
      <c r="P79" s="20">
        <v>26.0</v>
      </c>
      <c r="Q79" s="20">
        <v>417318.0</v>
      </c>
      <c r="R79" s="20">
        <v>10.0</v>
      </c>
      <c r="S79" s="20">
        <v>1989530.0</v>
      </c>
      <c r="T79" s="16">
        <f t="shared" ref="T79:U79" si="75">sum(B79,D79,F79,H79,J79,L79,N79,P79,R79)</f>
        <v>160</v>
      </c>
      <c r="U79" s="16">
        <f t="shared" si="75"/>
        <v>3718087</v>
      </c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>
      <c r="A80" s="20" t="s">
        <v>312</v>
      </c>
      <c r="B80" s="20" t="s">
        <v>236</v>
      </c>
      <c r="C80" s="20" t="s">
        <v>236</v>
      </c>
      <c r="D80" s="20">
        <v>1.0</v>
      </c>
      <c r="E80" s="20">
        <v>2669.0</v>
      </c>
      <c r="F80" s="20">
        <v>1.0</v>
      </c>
      <c r="G80" s="20">
        <v>2132.0</v>
      </c>
      <c r="H80" s="20" t="s">
        <v>236</v>
      </c>
      <c r="I80" s="20" t="s">
        <v>236</v>
      </c>
      <c r="J80" s="20">
        <v>1.0</v>
      </c>
      <c r="K80" s="20">
        <v>20471.0</v>
      </c>
      <c r="L80" s="20" t="s">
        <v>236</v>
      </c>
      <c r="M80" s="20" t="s">
        <v>236</v>
      </c>
      <c r="N80" s="20" t="s">
        <v>236</v>
      </c>
      <c r="O80" s="20" t="s">
        <v>236</v>
      </c>
      <c r="P80" s="20">
        <v>3.0</v>
      </c>
      <c r="Q80" s="20">
        <v>3194.0</v>
      </c>
      <c r="R80" s="20" t="s">
        <v>236</v>
      </c>
      <c r="S80" s="20"/>
      <c r="T80" s="16">
        <f t="shared" ref="T80:U80" si="76">sum(B80,D80,F80,H80,J80,L80,N80,P80,R80)</f>
        <v>6</v>
      </c>
      <c r="U80" s="16">
        <f t="shared" si="76"/>
        <v>28466</v>
      </c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>
      <c r="A81" s="20" t="s">
        <v>315</v>
      </c>
      <c r="B81" s="20">
        <v>7.0</v>
      </c>
      <c r="C81" s="20">
        <v>63445.0</v>
      </c>
      <c r="D81" s="20">
        <v>3.0</v>
      </c>
      <c r="E81" s="20">
        <v>9647.0</v>
      </c>
      <c r="F81" s="20">
        <v>4.0</v>
      </c>
      <c r="G81" s="20">
        <v>14624.0</v>
      </c>
      <c r="H81" s="20" t="s">
        <v>236</v>
      </c>
      <c r="I81" s="20" t="s">
        <v>236</v>
      </c>
      <c r="J81" s="20">
        <v>6.0</v>
      </c>
      <c r="K81" s="20">
        <v>169609.0</v>
      </c>
      <c r="L81" s="20" t="s">
        <v>236</v>
      </c>
      <c r="M81" s="20" t="s">
        <v>236</v>
      </c>
      <c r="N81" s="20">
        <v>5.0</v>
      </c>
      <c r="O81" s="20">
        <v>9364.0</v>
      </c>
      <c r="P81" s="20">
        <v>4.0</v>
      </c>
      <c r="Q81" s="20">
        <v>12393.0</v>
      </c>
      <c r="R81" s="20">
        <v>2.0</v>
      </c>
      <c r="S81" s="20">
        <v>15307.0</v>
      </c>
      <c r="T81" s="16">
        <f t="shared" ref="T81:U81" si="77">sum(B81,D81,F81,H81,J81,L81,N81,P81,R81)</f>
        <v>31</v>
      </c>
      <c r="U81" s="16">
        <f t="shared" si="77"/>
        <v>294389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>
      <c r="A82" s="20" t="s">
        <v>322</v>
      </c>
      <c r="B82" s="20" t="s">
        <v>236</v>
      </c>
      <c r="C82" s="20" t="s">
        <v>236</v>
      </c>
      <c r="D82" s="20" t="s">
        <v>236</v>
      </c>
      <c r="E82" s="20" t="s">
        <v>236</v>
      </c>
      <c r="F82" s="20" t="s">
        <v>236</v>
      </c>
      <c r="G82" s="20" t="s">
        <v>236</v>
      </c>
      <c r="H82" s="20" t="s">
        <v>236</v>
      </c>
      <c r="I82" s="20" t="s">
        <v>236</v>
      </c>
      <c r="J82" s="20">
        <v>1.0</v>
      </c>
      <c r="K82" s="20">
        <v>20471.0</v>
      </c>
      <c r="L82" s="20" t="s">
        <v>236</v>
      </c>
      <c r="M82" s="20" t="s">
        <v>236</v>
      </c>
      <c r="N82" s="20" t="s">
        <v>236</v>
      </c>
      <c r="O82" s="20" t="s">
        <v>236</v>
      </c>
      <c r="P82" s="20" t="s">
        <v>236</v>
      </c>
      <c r="Q82" s="20" t="s">
        <v>236</v>
      </c>
      <c r="R82" s="20" t="s">
        <v>236</v>
      </c>
      <c r="S82" s="20"/>
      <c r="T82" s="16">
        <f t="shared" ref="T82:U82" si="78">sum(B82,D82,F82,H82,J82,L82,N82,P82,R82)</f>
        <v>1</v>
      </c>
      <c r="U82" s="16">
        <f t="shared" si="78"/>
        <v>20471</v>
      </c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>
      <c r="A83" s="20" t="s">
        <v>326</v>
      </c>
      <c r="B83" s="20" t="s">
        <v>236</v>
      </c>
      <c r="C83" s="20" t="s">
        <v>236</v>
      </c>
      <c r="D83" s="20" t="s">
        <v>236</v>
      </c>
      <c r="E83" s="20" t="s">
        <v>236</v>
      </c>
      <c r="F83" s="20" t="s">
        <v>236</v>
      </c>
      <c r="G83" s="20" t="s">
        <v>236</v>
      </c>
      <c r="H83" s="20" t="s">
        <v>236</v>
      </c>
      <c r="I83" s="20" t="s">
        <v>236</v>
      </c>
      <c r="J83" s="20">
        <v>3.0</v>
      </c>
      <c r="K83" s="20">
        <v>20471.0</v>
      </c>
      <c r="L83" s="20" t="s">
        <v>236</v>
      </c>
      <c r="M83" s="20" t="s">
        <v>236</v>
      </c>
      <c r="N83" s="20" t="s">
        <v>236</v>
      </c>
      <c r="O83" s="20" t="s">
        <v>236</v>
      </c>
      <c r="P83" s="20">
        <v>1.0</v>
      </c>
      <c r="Q83" s="20">
        <v>939.0</v>
      </c>
      <c r="R83" s="20" t="s">
        <v>236</v>
      </c>
      <c r="S83" s="20"/>
      <c r="T83" s="16">
        <f t="shared" ref="T83:U83" si="79">sum(B83,D83,F83,H83,J83,L83,N83,P83,R83)</f>
        <v>4</v>
      </c>
      <c r="U83" s="16">
        <f t="shared" si="79"/>
        <v>21410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>
      <c r="A84" s="20" t="s">
        <v>329</v>
      </c>
      <c r="B84" s="20" t="s">
        <v>236</v>
      </c>
      <c r="C84" s="20" t="s">
        <v>236</v>
      </c>
      <c r="D84" s="20">
        <v>3.0</v>
      </c>
      <c r="E84" s="20">
        <v>2251.0</v>
      </c>
      <c r="F84" s="20">
        <v>1.0</v>
      </c>
      <c r="G84" s="20">
        <v>5063.0</v>
      </c>
      <c r="H84" s="20" t="s">
        <v>236</v>
      </c>
      <c r="I84" s="20" t="s">
        <v>236</v>
      </c>
      <c r="J84" s="20">
        <v>1.0</v>
      </c>
      <c r="K84" s="20">
        <v>20471.0</v>
      </c>
      <c r="L84" s="20" t="s">
        <v>236</v>
      </c>
      <c r="M84" s="20" t="s">
        <v>236</v>
      </c>
      <c r="N84" s="20" t="s">
        <v>236</v>
      </c>
      <c r="O84" s="20" t="s">
        <v>236</v>
      </c>
      <c r="P84" s="20">
        <v>4.0</v>
      </c>
      <c r="Q84" s="20">
        <v>9898.0</v>
      </c>
      <c r="R84" s="20" t="s">
        <v>236</v>
      </c>
      <c r="S84" s="20"/>
      <c r="T84" s="16">
        <f t="shared" ref="T84:U84" si="80">sum(B84,D84,F84,H84,J84,L84,N84,P84,R84)</f>
        <v>9</v>
      </c>
      <c r="U84" s="16">
        <f t="shared" si="80"/>
        <v>37683</v>
      </c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>
      <c r="A85" s="20" t="s">
        <v>344</v>
      </c>
      <c r="B85" s="20">
        <v>12.0</v>
      </c>
      <c r="C85" s="20">
        <v>100566.0</v>
      </c>
      <c r="D85" s="20">
        <v>6.0</v>
      </c>
      <c r="E85" s="20">
        <v>19828.0</v>
      </c>
      <c r="F85" s="20">
        <v>7.0</v>
      </c>
      <c r="G85" s="20">
        <v>23735.0</v>
      </c>
      <c r="H85" s="20" t="s">
        <v>236</v>
      </c>
      <c r="I85" s="20" t="s">
        <v>236</v>
      </c>
      <c r="J85" s="20">
        <v>26.0</v>
      </c>
      <c r="K85" s="20">
        <v>695629.0</v>
      </c>
      <c r="L85" s="20">
        <v>1.0</v>
      </c>
      <c r="M85" s="20">
        <v>12252.0</v>
      </c>
      <c r="N85" s="20">
        <v>12.0</v>
      </c>
      <c r="O85" s="20">
        <v>33401.0</v>
      </c>
      <c r="P85" s="20">
        <v>11.0</v>
      </c>
      <c r="Q85" s="20">
        <v>29610.0</v>
      </c>
      <c r="R85" s="20">
        <v>1.0</v>
      </c>
      <c r="S85" s="20">
        <v>15492.0</v>
      </c>
      <c r="T85" s="16">
        <f t="shared" ref="T85:U85" si="81">sum(B85,D85,F85,H85,J85,L85,N85,P85,R85)</f>
        <v>76</v>
      </c>
      <c r="U85" s="16">
        <f t="shared" si="81"/>
        <v>930513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>
      <c r="A86" s="20" t="s">
        <v>347</v>
      </c>
      <c r="B86" s="20">
        <v>55.0</v>
      </c>
      <c r="C86" s="20">
        <v>1073643.0</v>
      </c>
      <c r="D86" s="20" t="s">
        <v>236</v>
      </c>
      <c r="E86" s="20" t="s">
        <v>236</v>
      </c>
      <c r="F86" s="20">
        <v>13.0</v>
      </c>
      <c r="G86" s="20">
        <v>89962.0</v>
      </c>
      <c r="H86" s="20" t="s">
        <v>236</v>
      </c>
      <c r="I86" s="20" t="s">
        <v>236</v>
      </c>
      <c r="J86" s="20">
        <v>112.0</v>
      </c>
      <c r="K86" s="20">
        <v>1146968.0</v>
      </c>
      <c r="L86" s="20" t="s">
        <v>236</v>
      </c>
      <c r="M86" s="20" t="s">
        <v>236</v>
      </c>
      <c r="N86" s="20">
        <v>6.0</v>
      </c>
      <c r="O86" s="20">
        <v>28636.0</v>
      </c>
      <c r="P86" s="20">
        <v>8.0</v>
      </c>
      <c r="Q86" s="20">
        <v>22492.0</v>
      </c>
      <c r="R86" s="20">
        <v>2.0</v>
      </c>
      <c r="S86" s="20">
        <v>348408.0</v>
      </c>
      <c r="T86" s="16">
        <f t="shared" ref="T86:U86" si="82">sum(B86,D86,F86,H86,J86,L86,N86,P86,R86)</f>
        <v>196</v>
      </c>
      <c r="U86" s="16">
        <f t="shared" si="82"/>
        <v>2710109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>
      <c r="A87" s="20" t="s">
        <v>335</v>
      </c>
      <c r="B87" s="20" t="s">
        <v>236</v>
      </c>
      <c r="C87" s="20" t="s">
        <v>236</v>
      </c>
      <c r="D87" s="20" t="s">
        <v>236</v>
      </c>
      <c r="E87" s="20" t="s">
        <v>236</v>
      </c>
      <c r="F87" s="20" t="s">
        <v>236</v>
      </c>
      <c r="G87" s="20" t="s">
        <v>236</v>
      </c>
      <c r="H87" s="20" t="s">
        <v>236</v>
      </c>
      <c r="I87" s="20" t="s">
        <v>236</v>
      </c>
      <c r="J87" s="20">
        <v>2.0</v>
      </c>
      <c r="K87" s="20">
        <v>31680.0</v>
      </c>
      <c r="L87" s="20" t="s">
        <v>236</v>
      </c>
      <c r="M87" s="20" t="s">
        <v>236</v>
      </c>
      <c r="N87" s="20" t="s">
        <v>236</v>
      </c>
      <c r="O87" s="20" t="s">
        <v>236</v>
      </c>
      <c r="P87" s="20" t="s">
        <v>236</v>
      </c>
      <c r="Q87" s="20" t="s">
        <v>236</v>
      </c>
      <c r="R87" s="20" t="s">
        <v>236</v>
      </c>
      <c r="S87" s="20"/>
      <c r="T87" s="16">
        <f t="shared" ref="T87:U87" si="83">sum(B87,D87,F87,H87,J87,L87,N87,P87,R87)</f>
        <v>2</v>
      </c>
      <c r="U87" s="16">
        <f t="shared" si="83"/>
        <v>31680</v>
      </c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>
      <c r="A88" s="20" t="s">
        <v>341</v>
      </c>
      <c r="B88" s="20" t="s">
        <v>236</v>
      </c>
      <c r="C88" s="20" t="s">
        <v>236</v>
      </c>
      <c r="D88" s="20" t="s">
        <v>236</v>
      </c>
      <c r="E88" s="20" t="s">
        <v>236</v>
      </c>
      <c r="F88" s="20" t="s">
        <v>236</v>
      </c>
      <c r="G88" s="20" t="s">
        <v>236</v>
      </c>
      <c r="H88" s="20" t="s">
        <v>236</v>
      </c>
      <c r="I88" s="20" t="s">
        <v>236</v>
      </c>
      <c r="J88" s="20">
        <v>3.0</v>
      </c>
      <c r="K88" s="20">
        <v>32043.0</v>
      </c>
      <c r="L88" s="20" t="s">
        <v>236</v>
      </c>
      <c r="M88" s="20" t="s">
        <v>236</v>
      </c>
      <c r="N88" s="20" t="s">
        <v>236</v>
      </c>
      <c r="O88" s="20" t="s">
        <v>236</v>
      </c>
      <c r="P88" s="20" t="s">
        <v>236</v>
      </c>
      <c r="Q88" s="20" t="s">
        <v>236</v>
      </c>
      <c r="R88" s="20" t="s">
        <v>236</v>
      </c>
      <c r="S88" s="20"/>
      <c r="T88" s="16">
        <f t="shared" ref="T88:U88" si="84">sum(B88,D88,F88,H88,J88,L88,N88,P88,R88)</f>
        <v>3</v>
      </c>
      <c r="U88" s="16">
        <f t="shared" si="84"/>
        <v>32043</v>
      </c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>
      <c r="A89" s="20" t="s">
        <v>349</v>
      </c>
      <c r="B89" s="20">
        <v>6.0</v>
      </c>
      <c r="C89" s="20">
        <v>58452.0</v>
      </c>
      <c r="D89" s="20">
        <v>2.0</v>
      </c>
      <c r="E89" s="20">
        <v>7165.0</v>
      </c>
      <c r="F89" s="20" t="s">
        <v>236</v>
      </c>
      <c r="G89" s="20" t="s">
        <v>236</v>
      </c>
      <c r="H89" s="20" t="s">
        <v>236</v>
      </c>
      <c r="I89" s="20" t="s">
        <v>236</v>
      </c>
      <c r="J89" s="20">
        <v>1.0</v>
      </c>
      <c r="K89" s="20">
        <v>39941.0</v>
      </c>
      <c r="L89" s="20">
        <v>2.0</v>
      </c>
      <c r="M89" s="20">
        <v>23441.0</v>
      </c>
      <c r="N89" s="20">
        <v>2.0</v>
      </c>
      <c r="O89" s="20">
        <v>6739.0</v>
      </c>
      <c r="P89" s="20">
        <v>1.0</v>
      </c>
      <c r="Q89" s="20">
        <v>4676.0</v>
      </c>
      <c r="R89" s="20" t="s">
        <v>236</v>
      </c>
      <c r="S89" s="20"/>
      <c r="T89" s="16">
        <f t="shared" ref="T89:U89" si="85">sum(B89,D89,F89,H89,J89,L89,N89,P89,R89)</f>
        <v>14</v>
      </c>
      <c r="U89" s="16">
        <f t="shared" si="85"/>
        <v>140414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>
      <c r="A90" s="20" t="s">
        <v>354</v>
      </c>
      <c r="B90" s="20">
        <v>2.0</v>
      </c>
      <c r="C90" s="20">
        <v>18663.0</v>
      </c>
      <c r="D90" s="20" t="s">
        <v>236</v>
      </c>
      <c r="E90" s="20" t="s">
        <v>236</v>
      </c>
      <c r="F90" s="20" t="s">
        <v>236</v>
      </c>
      <c r="G90" s="20" t="s">
        <v>236</v>
      </c>
      <c r="H90" s="20" t="s">
        <v>236</v>
      </c>
      <c r="I90" s="20" t="s">
        <v>236</v>
      </c>
      <c r="J90" s="20" t="s">
        <v>236</v>
      </c>
      <c r="K90" s="20" t="s">
        <v>236</v>
      </c>
      <c r="L90" s="20">
        <v>1.0</v>
      </c>
      <c r="M90" s="20">
        <v>11719.0</v>
      </c>
      <c r="N90" s="20" t="s">
        <v>236</v>
      </c>
      <c r="O90" s="20" t="s">
        <v>236</v>
      </c>
      <c r="P90" s="20" t="s">
        <v>236</v>
      </c>
      <c r="Q90" s="20" t="s">
        <v>236</v>
      </c>
      <c r="R90" s="20" t="s">
        <v>236</v>
      </c>
      <c r="S90" s="20"/>
      <c r="T90" s="16">
        <f t="shared" ref="T90:U90" si="86">sum(B90,D90,F90,H90,J90,L90,N90,P90,R90)</f>
        <v>3</v>
      </c>
      <c r="U90" s="16">
        <f t="shared" si="86"/>
        <v>30382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>
      <c r="A91" s="20" t="s">
        <v>361</v>
      </c>
      <c r="B91" s="20" t="s">
        <v>236</v>
      </c>
      <c r="C91" s="20" t="s">
        <v>236</v>
      </c>
      <c r="D91" s="20" t="s">
        <v>236</v>
      </c>
      <c r="E91" s="20" t="s">
        <v>236</v>
      </c>
      <c r="F91" s="20" t="s">
        <v>236</v>
      </c>
      <c r="G91" s="20" t="s">
        <v>236</v>
      </c>
      <c r="H91" s="20" t="s">
        <v>236</v>
      </c>
      <c r="I91" s="20" t="s">
        <v>236</v>
      </c>
      <c r="J91" s="20">
        <v>1.0</v>
      </c>
      <c r="K91" s="20">
        <v>20471.0</v>
      </c>
      <c r="L91" s="20" t="s">
        <v>236</v>
      </c>
      <c r="M91" s="20" t="s">
        <v>236</v>
      </c>
      <c r="N91" s="20" t="s">
        <v>236</v>
      </c>
      <c r="O91" s="20" t="s">
        <v>236</v>
      </c>
      <c r="P91" s="20" t="s">
        <v>236</v>
      </c>
      <c r="Q91" s="20" t="s">
        <v>236</v>
      </c>
      <c r="R91" s="20" t="s">
        <v>236</v>
      </c>
      <c r="S91" s="20"/>
      <c r="T91" s="16">
        <f t="shared" ref="T91:U91" si="87">sum(B91,D91,F91,H91,J91,L91,N91,P91,R91)</f>
        <v>1</v>
      </c>
      <c r="U91" s="16">
        <f t="shared" si="87"/>
        <v>20471</v>
      </c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>
      <c r="A92" s="20" t="s">
        <v>384</v>
      </c>
      <c r="B92" s="20" t="s">
        <v>236</v>
      </c>
      <c r="C92" s="20" t="s">
        <v>236</v>
      </c>
      <c r="D92" s="20" t="s">
        <v>236</v>
      </c>
      <c r="E92" s="20" t="s">
        <v>236</v>
      </c>
      <c r="F92" s="20" t="s">
        <v>236</v>
      </c>
      <c r="G92" s="20" t="s">
        <v>236</v>
      </c>
      <c r="H92" s="20" t="s">
        <v>236</v>
      </c>
      <c r="I92" s="20" t="s">
        <v>236</v>
      </c>
      <c r="J92" s="20">
        <v>2.0</v>
      </c>
      <c r="K92" s="20">
        <v>40942.0</v>
      </c>
      <c r="L92" s="20" t="s">
        <v>236</v>
      </c>
      <c r="M92" s="20" t="s">
        <v>236</v>
      </c>
      <c r="N92" s="20" t="s">
        <v>236</v>
      </c>
      <c r="O92" s="20" t="s">
        <v>236</v>
      </c>
      <c r="P92" s="20">
        <v>1.0</v>
      </c>
      <c r="Q92" s="20">
        <v>964.0</v>
      </c>
      <c r="R92" s="20" t="s">
        <v>236</v>
      </c>
      <c r="S92" s="20"/>
      <c r="T92" s="16">
        <f t="shared" ref="T92:U92" si="88">sum(B92,D92,F92,H92,J92,L92,N92,P92,R92)</f>
        <v>3</v>
      </c>
      <c r="U92" s="16">
        <f t="shared" si="88"/>
        <v>41906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>
      <c r="A93" s="20" t="s">
        <v>358</v>
      </c>
      <c r="B93" s="20" t="s">
        <v>236</v>
      </c>
      <c r="C93" s="20" t="s">
        <v>236</v>
      </c>
      <c r="D93" s="20" t="s">
        <v>236</v>
      </c>
      <c r="E93" s="20" t="s">
        <v>236</v>
      </c>
      <c r="F93" s="20">
        <v>1.0</v>
      </c>
      <c r="G93" s="20">
        <v>5392.0</v>
      </c>
      <c r="H93" s="20" t="s">
        <v>236</v>
      </c>
      <c r="I93" s="20" t="s">
        <v>236</v>
      </c>
      <c r="J93" s="20" t="s">
        <v>236</v>
      </c>
      <c r="K93" s="20" t="s">
        <v>236</v>
      </c>
      <c r="L93" s="20" t="s">
        <v>236</v>
      </c>
      <c r="M93" s="20" t="s">
        <v>236</v>
      </c>
      <c r="N93" s="20" t="s">
        <v>236</v>
      </c>
      <c r="O93" s="20" t="s">
        <v>236</v>
      </c>
      <c r="P93" s="20">
        <v>1.0</v>
      </c>
      <c r="Q93" s="20">
        <v>5042.0</v>
      </c>
      <c r="R93" s="20" t="s">
        <v>236</v>
      </c>
      <c r="S93" s="20"/>
      <c r="T93" s="16">
        <f t="shared" ref="T93:U93" si="89">sum(B93,D93,F93,H93,J93,L93,N93,P93,R93)</f>
        <v>2</v>
      </c>
      <c r="U93" s="16">
        <f t="shared" si="89"/>
        <v>10434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>
      <c r="A94" s="20" t="s">
        <v>365</v>
      </c>
      <c r="B94" s="20">
        <v>2.0</v>
      </c>
      <c r="C94" s="20">
        <v>36.0</v>
      </c>
      <c r="D94" s="20" t="s">
        <v>236</v>
      </c>
      <c r="E94" s="20" t="s">
        <v>236</v>
      </c>
      <c r="F94" s="20" t="s">
        <v>236</v>
      </c>
      <c r="G94" s="20" t="s">
        <v>236</v>
      </c>
      <c r="H94" s="20" t="s">
        <v>236</v>
      </c>
      <c r="I94" s="20" t="s">
        <v>236</v>
      </c>
      <c r="J94" s="20">
        <v>5.0</v>
      </c>
      <c r="K94" s="20">
        <v>148434.0</v>
      </c>
      <c r="L94" s="20" t="s">
        <v>236</v>
      </c>
      <c r="M94" s="20" t="s">
        <v>236</v>
      </c>
      <c r="N94" s="20" t="s">
        <v>236</v>
      </c>
      <c r="O94" s="20" t="s">
        <v>236</v>
      </c>
      <c r="P94" s="20">
        <v>2.0</v>
      </c>
      <c r="Q94" s="20">
        <v>11954.0</v>
      </c>
      <c r="R94" s="20" t="s">
        <v>236</v>
      </c>
      <c r="S94" s="20"/>
      <c r="T94" s="16">
        <f t="shared" ref="T94:U94" si="90">sum(B94,D94,F94,H94,J94,L94,N94,P94,R94)</f>
        <v>9</v>
      </c>
      <c r="U94" s="16">
        <f t="shared" si="90"/>
        <v>160424</v>
      </c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>
      <c r="A95" s="20" t="s">
        <v>369</v>
      </c>
      <c r="B95" s="20">
        <v>7.0</v>
      </c>
      <c r="C95" s="20">
        <v>12079.0</v>
      </c>
      <c r="D95" s="20">
        <v>2.0</v>
      </c>
      <c r="E95" s="20">
        <v>7165.0</v>
      </c>
      <c r="F95" s="20" t="s">
        <v>236</v>
      </c>
      <c r="G95" s="20" t="s">
        <v>236</v>
      </c>
      <c r="H95" s="20" t="s">
        <v>236</v>
      </c>
      <c r="I95" s="20" t="s">
        <v>236</v>
      </c>
      <c r="J95" s="20">
        <v>3.0</v>
      </c>
      <c r="K95" s="20">
        <v>78122.0</v>
      </c>
      <c r="L95" s="20">
        <v>1.0</v>
      </c>
      <c r="M95" s="20">
        <v>12420.0</v>
      </c>
      <c r="N95" s="20">
        <v>1.0</v>
      </c>
      <c r="O95" s="20">
        <v>3376.0</v>
      </c>
      <c r="P95" s="20">
        <v>3.0</v>
      </c>
      <c r="Q95" s="20">
        <v>8268.0</v>
      </c>
      <c r="R95" s="20" t="s">
        <v>236</v>
      </c>
      <c r="S95" s="20"/>
      <c r="T95" s="16">
        <f t="shared" ref="T95:U95" si="91">sum(B95,D95,F95,H95,J95,L95,N95,P95,R95)</f>
        <v>17</v>
      </c>
      <c r="U95" s="16">
        <f t="shared" si="91"/>
        <v>121430</v>
      </c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>
      <c r="A96" s="20" t="s">
        <v>373</v>
      </c>
      <c r="B96" s="20">
        <v>12.0</v>
      </c>
      <c r="C96" s="20">
        <v>51524.0</v>
      </c>
      <c r="D96" s="20">
        <v>1.0</v>
      </c>
      <c r="E96" s="20">
        <v>3582.0</v>
      </c>
      <c r="F96" s="20">
        <v>1.0</v>
      </c>
      <c r="G96" s="20">
        <v>5447.0</v>
      </c>
      <c r="H96" s="20" t="s">
        <v>236</v>
      </c>
      <c r="I96" s="20" t="s">
        <v>236</v>
      </c>
      <c r="J96" s="20">
        <v>4.0</v>
      </c>
      <c r="K96" s="20">
        <v>109098.0</v>
      </c>
      <c r="L96" s="20">
        <v>1.0</v>
      </c>
      <c r="M96" s="20">
        <v>12420.0</v>
      </c>
      <c r="N96" s="20">
        <v>1.0</v>
      </c>
      <c r="O96" s="20">
        <v>3377.0</v>
      </c>
      <c r="P96" s="20">
        <v>2.0</v>
      </c>
      <c r="Q96" s="20">
        <v>5512.0</v>
      </c>
      <c r="R96" s="20" t="s">
        <v>236</v>
      </c>
      <c r="S96" s="20"/>
      <c r="T96" s="16">
        <f t="shared" ref="T96:U96" si="92">sum(B96,D96,F96,H96,J96,L96,N96,P96,R96)</f>
        <v>22</v>
      </c>
      <c r="U96" s="16">
        <f t="shared" si="92"/>
        <v>190960</v>
      </c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>
      <c r="A97" s="20" t="s">
        <v>376</v>
      </c>
      <c r="B97" s="20">
        <v>8.0</v>
      </c>
      <c r="C97" s="20">
        <v>28260.0</v>
      </c>
      <c r="D97" s="20">
        <v>1.0</v>
      </c>
      <c r="E97" s="20">
        <v>3583.0</v>
      </c>
      <c r="F97" s="20" t="s">
        <v>236</v>
      </c>
      <c r="G97" s="20" t="s">
        <v>236</v>
      </c>
      <c r="H97" s="20" t="s">
        <v>236</v>
      </c>
      <c r="I97" s="20" t="s">
        <v>236</v>
      </c>
      <c r="J97" s="20">
        <v>4.0</v>
      </c>
      <c r="K97" s="20">
        <v>109098.0</v>
      </c>
      <c r="L97" s="20">
        <v>1.0</v>
      </c>
      <c r="M97" s="20">
        <v>12420.0</v>
      </c>
      <c r="N97" s="20">
        <v>1.0</v>
      </c>
      <c r="O97" s="20">
        <v>3377.0</v>
      </c>
      <c r="P97" s="20">
        <v>2.0</v>
      </c>
      <c r="Q97" s="20">
        <v>5512.0</v>
      </c>
      <c r="R97" s="20" t="s">
        <v>236</v>
      </c>
      <c r="S97" s="20"/>
      <c r="T97" s="16">
        <f t="shared" ref="T97:U97" si="93">sum(B97,D97,F97,H97,J97,L97,N97,P97,R97)</f>
        <v>17</v>
      </c>
      <c r="U97" s="16">
        <f t="shared" si="93"/>
        <v>162250</v>
      </c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>
      <c r="A98" s="20" t="s">
        <v>380</v>
      </c>
      <c r="B98" s="20">
        <v>5.0</v>
      </c>
      <c r="C98" s="20">
        <v>5713.0</v>
      </c>
      <c r="D98" s="20">
        <v>2.0</v>
      </c>
      <c r="E98" s="20">
        <v>0.0</v>
      </c>
      <c r="F98" s="20" t="s">
        <v>236</v>
      </c>
      <c r="G98" s="20" t="s">
        <v>236</v>
      </c>
      <c r="H98" s="20" t="s">
        <v>236</v>
      </c>
      <c r="I98" s="20" t="s">
        <v>236</v>
      </c>
      <c r="J98" s="20">
        <v>2.0</v>
      </c>
      <c r="K98" s="20">
        <v>58696.0</v>
      </c>
      <c r="L98" s="20" t="s">
        <v>236</v>
      </c>
      <c r="M98" s="20" t="s">
        <v>236</v>
      </c>
      <c r="N98" s="20">
        <v>1.0</v>
      </c>
      <c r="O98" s="20">
        <v>3376.0</v>
      </c>
      <c r="P98" s="20" t="s">
        <v>236</v>
      </c>
      <c r="Q98" s="20" t="s">
        <v>236</v>
      </c>
      <c r="R98" s="20" t="s">
        <v>236</v>
      </c>
      <c r="S98" s="20"/>
      <c r="T98" s="16">
        <f t="shared" ref="T98:U98" si="94">sum(B98,D98,F98,H98,J98,L98,N98,P98,R98)</f>
        <v>10</v>
      </c>
      <c r="U98" s="16">
        <f t="shared" si="94"/>
        <v>67785</v>
      </c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>
      <c r="A99" s="20" t="s">
        <v>388</v>
      </c>
      <c r="B99" s="20">
        <v>1.0</v>
      </c>
      <c r="C99" s="20">
        <v>5712.0</v>
      </c>
      <c r="D99" s="20" t="s">
        <v>236</v>
      </c>
      <c r="E99" s="20" t="s">
        <v>236</v>
      </c>
      <c r="F99" s="20" t="s">
        <v>236</v>
      </c>
      <c r="G99" s="20" t="s">
        <v>236</v>
      </c>
      <c r="H99" s="20" t="s">
        <v>236</v>
      </c>
      <c r="I99" s="20" t="s">
        <v>236</v>
      </c>
      <c r="J99" s="20">
        <v>3.0</v>
      </c>
      <c r="K99" s="20">
        <v>98637.0</v>
      </c>
      <c r="L99" s="20">
        <v>1.0</v>
      </c>
      <c r="M99" s="20">
        <v>11724.0</v>
      </c>
      <c r="N99" s="20" t="s">
        <v>236</v>
      </c>
      <c r="O99" s="20" t="s">
        <v>236</v>
      </c>
      <c r="P99" s="20">
        <v>2.0</v>
      </c>
      <c r="Q99" s="20">
        <v>3231.0</v>
      </c>
      <c r="R99" s="20" t="s">
        <v>236</v>
      </c>
      <c r="S99" s="20"/>
      <c r="T99" s="16">
        <f t="shared" ref="T99:U99" si="95">sum(B99,D99,F99,H99,J99,L99,N99,P99,R99)</f>
        <v>7</v>
      </c>
      <c r="U99" s="16">
        <f t="shared" si="95"/>
        <v>119304</v>
      </c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>
      <c r="A100" s="20" t="s">
        <v>391</v>
      </c>
      <c r="B100" s="20" t="s">
        <v>236</v>
      </c>
      <c r="C100" s="20" t="s">
        <v>236</v>
      </c>
      <c r="D100" s="20" t="s">
        <v>236</v>
      </c>
      <c r="E100" s="20" t="s">
        <v>236</v>
      </c>
      <c r="F100" s="20" t="s">
        <v>236</v>
      </c>
      <c r="G100" s="20" t="s">
        <v>236</v>
      </c>
      <c r="H100" s="20" t="s">
        <v>236</v>
      </c>
      <c r="I100" s="20" t="s">
        <v>236</v>
      </c>
      <c r="J100" s="20">
        <v>1.0</v>
      </c>
      <c r="K100" s="20">
        <v>20471.0</v>
      </c>
      <c r="L100" s="20" t="s">
        <v>236</v>
      </c>
      <c r="M100" s="20" t="s">
        <v>236</v>
      </c>
      <c r="N100" s="20" t="s">
        <v>236</v>
      </c>
      <c r="O100" s="20" t="s">
        <v>236</v>
      </c>
      <c r="P100" s="20" t="s">
        <v>236</v>
      </c>
      <c r="Q100" s="20" t="s">
        <v>236</v>
      </c>
      <c r="R100" s="20" t="s">
        <v>236</v>
      </c>
      <c r="S100" s="20"/>
      <c r="T100" s="16">
        <f t="shared" ref="T100:U100" si="96">sum(B100,D100,F100,H100,J100,L100,N100,P100,R100)</f>
        <v>1</v>
      </c>
      <c r="U100" s="16">
        <f t="shared" si="96"/>
        <v>20471</v>
      </c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>
      <c r="A101" s="20" t="s">
        <v>403</v>
      </c>
      <c r="B101" s="20">
        <v>13.0</v>
      </c>
      <c r="C101" s="20">
        <v>53156.0</v>
      </c>
      <c r="D101" s="20" t="s">
        <v>236</v>
      </c>
      <c r="E101" s="20" t="s">
        <v>236</v>
      </c>
      <c r="F101" s="20" t="s">
        <v>236</v>
      </c>
      <c r="G101" s="20" t="s">
        <v>236</v>
      </c>
      <c r="H101" s="20" t="s">
        <v>236</v>
      </c>
      <c r="I101" s="20" t="s">
        <v>236</v>
      </c>
      <c r="J101" s="20">
        <v>2.0</v>
      </c>
      <c r="K101" s="20">
        <v>56320.0</v>
      </c>
      <c r="L101" s="20" t="s">
        <v>236</v>
      </c>
      <c r="M101" s="20" t="s">
        <v>236</v>
      </c>
      <c r="N101" s="20" t="s">
        <v>236</v>
      </c>
      <c r="O101" s="20" t="s">
        <v>236</v>
      </c>
      <c r="P101" s="20">
        <v>2.0</v>
      </c>
      <c r="Q101" s="20">
        <v>10090.0</v>
      </c>
      <c r="R101" s="20">
        <v>3.0</v>
      </c>
      <c r="S101" s="20">
        <v>1802.0</v>
      </c>
      <c r="T101" s="16">
        <f t="shared" ref="T101:U101" si="97">sum(B101,D101,F101,H101,J101,L101,N101,P101,R101)</f>
        <v>20</v>
      </c>
      <c r="U101" s="16">
        <f t="shared" si="97"/>
        <v>121368</v>
      </c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>
      <c r="A102" s="20" t="s">
        <v>396</v>
      </c>
      <c r="B102" s="20" t="s">
        <v>236</v>
      </c>
      <c r="C102" s="20" t="s">
        <v>236</v>
      </c>
      <c r="D102" s="20" t="s">
        <v>236</v>
      </c>
      <c r="E102" s="20" t="s">
        <v>236</v>
      </c>
      <c r="F102" s="20" t="s">
        <v>236</v>
      </c>
      <c r="G102" s="20" t="s">
        <v>236</v>
      </c>
      <c r="H102" s="20" t="s">
        <v>236</v>
      </c>
      <c r="I102" s="20" t="s">
        <v>236</v>
      </c>
      <c r="J102" s="20" t="s">
        <v>236</v>
      </c>
      <c r="K102" s="20" t="s">
        <v>236</v>
      </c>
      <c r="L102" s="20" t="s">
        <v>236</v>
      </c>
      <c r="M102" s="20" t="s">
        <v>236</v>
      </c>
      <c r="N102" s="20" t="s">
        <v>236</v>
      </c>
      <c r="O102" s="20" t="s">
        <v>236</v>
      </c>
      <c r="P102" s="20">
        <v>1.0</v>
      </c>
      <c r="Q102" s="20">
        <v>4676.0</v>
      </c>
      <c r="R102" s="20" t="s">
        <v>236</v>
      </c>
      <c r="S102" s="20"/>
      <c r="T102" s="16">
        <f t="shared" ref="T102:U102" si="98">sum(B102,D102,F102,H102,J102,L102,N102,P102,R102)</f>
        <v>1</v>
      </c>
      <c r="U102" s="16">
        <f t="shared" si="98"/>
        <v>4676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>
      <c r="A103" s="20" t="s">
        <v>399</v>
      </c>
      <c r="B103" s="20">
        <v>2.0</v>
      </c>
      <c r="C103" s="20">
        <v>37250.0</v>
      </c>
      <c r="D103" s="20">
        <v>1.0</v>
      </c>
      <c r="E103" s="20">
        <v>4814.0</v>
      </c>
      <c r="F103" s="20" t="s">
        <v>236</v>
      </c>
      <c r="G103" s="20" t="s">
        <v>236</v>
      </c>
      <c r="H103" s="20" t="s">
        <v>236</v>
      </c>
      <c r="I103" s="20" t="s">
        <v>236</v>
      </c>
      <c r="J103" s="20" t="s">
        <v>236</v>
      </c>
      <c r="K103" s="20" t="s">
        <v>236</v>
      </c>
      <c r="L103" s="20">
        <v>1.0</v>
      </c>
      <c r="M103" s="20">
        <v>23438.0</v>
      </c>
      <c r="N103" s="20" t="s">
        <v>236</v>
      </c>
      <c r="O103" s="20" t="s">
        <v>236</v>
      </c>
      <c r="P103" s="20" t="s">
        <v>236</v>
      </c>
      <c r="Q103" s="20" t="s">
        <v>236</v>
      </c>
      <c r="R103" s="20" t="s">
        <v>236</v>
      </c>
      <c r="S103" s="20"/>
      <c r="T103" s="16">
        <f t="shared" ref="T103:U103" si="99">sum(B103,D103,F103,H103,J103,L103,N103,P103,R103)</f>
        <v>4</v>
      </c>
      <c r="U103" s="16">
        <f t="shared" si="99"/>
        <v>65502</v>
      </c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</row>
    <row r="104">
      <c r="A104" s="20" t="s">
        <v>406</v>
      </c>
      <c r="B104" s="20">
        <v>1.0</v>
      </c>
      <c r="C104" s="20">
        <v>10274.0</v>
      </c>
      <c r="D104" s="20" t="s">
        <v>236</v>
      </c>
      <c r="E104" s="20" t="s">
        <v>236</v>
      </c>
      <c r="F104" s="20">
        <v>10.0</v>
      </c>
      <c r="G104" s="20">
        <v>72592.0</v>
      </c>
      <c r="H104" s="20" t="s">
        <v>236</v>
      </c>
      <c r="I104" s="20" t="s">
        <v>236</v>
      </c>
      <c r="J104" s="20">
        <v>13.0</v>
      </c>
      <c r="K104" s="20">
        <v>133884.0</v>
      </c>
      <c r="L104" s="20" t="s">
        <v>236</v>
      </c>
      <c r="M104" s="20" t="s">
        <v>236</v>
      </c>
      <c r="N104" s="20">
        <v>3.0</v>
      </c>
      <c r="O104" s="20">
        <v>19268.0</v>
      </c>
      <c r="P104" s="20" t="s">
        <v>236</v>
      </c>
      <c r="Q104" s="20" t="s">
        <v>236</v>
      </c>
      <c r="R104" s="20" t="s">
        <v>236</v>
      </c>
      <c r="S104" s="20"/>
      <c r="T104" s="16">
        <f t="shared" ref="T104:U104" si="100">sum(B104,D104,F104,H104,J104,L104,N104,P104,R104)</f>
        <v>27</v>
      </c>
      <c r="U104" s="16">
        <f t="shared" si="100"/>
        <v>236018</v>
      </c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</row>
    <row r="105">
      <c r="A105" s="20" t="s">
        <v>408</v>
      </c>
      <c r="B105" s="20" t="s">
        <v>236</v>
      </c>
      <c r="C105" s="20" t="s">
        <v>236</v>
      </c>
      <c r="D105" s="20" t="s">
        <v>236</v>
      </c>
      <c r="E105" s="20" t="s">
        <v>236</v>
      </c>
      <c r="F105" s="20" t="s">
        <v>236</v>
      </c>
      <c r="G105" s="20" t="s">
        <v>236</v>
      </c>
      <c r="H105" s="20" t="s">
        <v>236</v>
      </c>
      <c r="I105" s="20" t="s">
        <v>236</v>
      </c>
      <c r="J105" s="20">
        <v>1.0</v>
      </c>
      <c r="K105" s="20">
        <v>20471.0</v>
      </c>
      <c r="L105" s="20" t="s">
        <v>236</v>
      </c>
      <c r="M105" s="20" t="s">
        <v>236</v>
      </c>
      <c r="N105" s="20" t="s">
        <v>236</v>
      </c>
      <c r="O105" s="20" t="s">
        <v>236</v>
      </c>
      <c r="P105" s="20" t="s">
        <v>236</v>
      </c>
      <c r="Q105" s="20" t="s">
        <v>236</v>
      </c>
      <c r="R105" s="20" t="s">
        <v>236</v>
      </c>
      <c r="S105" s="20"/>
      <c r="T105" s="16">
        <f t="shared" ref="T105:U105" si="101">sum(B105,D105,F105,H105,J105,L105,N105,P105,R105)</f>
        <v>1</v>
      </c>
      <c r="U105" s="16">
        <f t="shared" si="101"/>
        <v>20471</v>
      </c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</row>
    <row r="106">
      <c r="A106" s="20" t="s">
        <v>414</v>
      </c>
      <c r="B106" s="20" t="s">
        <v>236</v>
      </c>
      <c r="C106" s="20" t="s">
        <v>236</v>
      </c>
      <c r="D106" s="20" t="s">
        <v>236</v>
      </c>
      <c r="E106" s="20" t="s">
        <v>236</v>
      </c>
      <c r="F106" s="20" t="s">
        <v>236</v>
      </c>
      <c r="G106" s="20" t="s">
        <v>236</v>
      </c>
      <c r="H106" s="20" t="s">
        <v>236</v>
      </c>
      <c r="I106" s="20" t="s">
        <v>236</v>
      </c>
      <c r="J106" s="20" t="s">
        <v>236</v>
      </c>
      <c r="K106" s="20" t="s">
        <v>236</v>
      </c>
      <c r="L106" s="20" t="s">
        <v>236</v>
      </c>
      <c r="M106" s="20" t="s">
        <v>236</v>
      </c>
      <c r="N106" s="20">
        <v>2.0</v>
      </c>
      <c r="O106" s="20">
        <v>5482.0</v>
      </c>
      <c r="P106" s="20" t="s">
        <v>236</v>
      </c>
      <c r="Q106" s="20" t="s">
        <v>236</v>
      </c>
      <c r="R106" s="20" t="s">
        <v>236</v>
      </c>
      <c r="S106" s="20"/>
      <c r="T106" s="16">
        <f t="shared" ref="T106:U106" si="102">sum(B106,D106,F106,H106,J106,L106,N106,P106,R106)</f>
        <v>2</v>
      </c>
      <c r="U106" s="16">
        <f t="shared" si="102"/>
        <v>5482</v>
      </c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</row>
    <row r="107">
      <c r="A107" s="20" t="s">
        <v>426</v>
      </c>
      <c r="B107" s="20">
        <v>10.0</v>
      </c>
      <c r="C107" s="20">
        <v>57130.0</v>
      </c>
      <c r="D107" s="20" t="s">
        <v>236</v>
      </c>
      <c r="E107" s="20" t="s">
        <v>236</v>
      </c>
      <c r="F107" s="20" t="s">
        <v>236</v>
      </c>
      <c r="G107" s="20" t="s">
        <v>236</v>
      </c>
      <c r="H107" s="20" t="s">
        <v>236</v>
      </c>
      <c r="I107" s="20" t="s">
        <v>236</v>
      </c>
      <c r="J107" s="20" t="s">
        <v>236</v>
      </c>
      <c r="K107" s="20" t="s">
        <v>236</v>
      </c>
      <c r="L107" s="20" t="s">
        <v>236</v>
      </c>
      <c r="M107" s="20" t="s">
        <v>236</v>
      </c>
      <c r="N107" s="20">
        <v>24.0</v>
      </c>
      <c r="O107" s="20">
        <v>78673.0</v>
      </c>
      <c r="P107" s="20" t="s">
        <v>236</v>
      </c>
      <c r="Q107" s="20" t="s">
        <v>236</v>
      </c>
      <c r="R107" s="20">
        <v>1.0</v>
      </c>
      <c r="S107" s="20">
        <v>166813.0</v>
      </c>
      <c r="T107" s="16">
        <f t="shared" ref="T107:U107" si="103">sum(B107,D107,F107,H107,J107,L107,N107,P107,R107)</f>
        <v>35</v>
      </c>
      <c r="U107" s="16">
        <f t="shared" si="103"/>
        <v>302616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</row>
    <row r="108">
      <c r="A108" s="20" t="s">
        <v>417</v>
      </c>
      <c r="B108" s="20">
        <v>23.0</v>
      </c>
      <c r="C108" s="20">
        <v>154143.0</v>
      </c>
      <c r="D108" s="20" t="s">
        <v>236</v>
      </c>
      <c r="E108" s="20" t="s">
        <v>236</v>
      </c>
      <c r="F108" s="20" t="s">
        <v>236</v>
      </c>
      <c r="G108" s="20" t="s">
        <v>236</v>
      </c>
      <c r="H108" s="20" t="s">
        <v>236</v>
      </c>
      <c r="I108" s="20" t="s">
        <v>236</v>
      </c>
      <c r="J108" s="20" t="s">
        <v>236</v>
      </c>
      <c r="K108" s="20" t="s">
        <v>236</v>
      </c>
      <c r="L108" s="20" t="s">
        <v>236</v>
      </c>
      <c r="M108" s="20" t="s">
        <v>236</v>
      </c>
      <c r="N108" s="20" t="s">
        <v>236</v>
      </c>
      <c r="O108" s="20" t="s">
        <v>236</v>
      </c>
      <c r="P108" s="20" t="s">
        <v>236</v>
      </c>
      <c r="Q108" s="20" t="s">
        <v>236</v>
      </c>
      <c r="R108" s="20">
        <v>3.0</v>
      </c>
      <c r="S108" s="20">
        <v>351039.0</v>
      </c>
      <c r="T108" s="16">
        <f t="shared" ref="T108:U108" si="104">sum(B108,D108,F108,H108,J108,L108,N108,P108,R108)</f>
        <v>26</v>
      </c>
      <c r="U108" s="16">
        <f t="shared" si="104"/>
        <v>505182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</row>
    <row r="109">
      <c r="A109" s="20" t="s">
        <v>419</v>
      </c>
      <c r="B109" s="20">
        <v>18.0</v>
      </c>
      <c r="C109" s="20">
        <v>257529.0</v>
      </c>
      <c r="D109" s="20">
        <v>27.0</v>
      </c>
      <c r="E109" s="20">
        <v>1926.0</v>
      </c>
      <c r="F109" s="20">
        <v>3.0</v>
      </c>
      <c r="G109" s="20">
        <v>32928.0</v>
      </c>
      <c r="H109" s="20">
        <v>1.0</v>
      </c>
      <c r="I109" s="20">
        <v>544.0</v>
      </c>
      <c r="J109" s="20">
        <v>1.0</v>
      </c>
      <c r="K109" s="20">
        <v>8883.0</v>
      </c>
      <c r="L109" s="20" t="s">
        <v>236</v>
      </c>
      <c r="M109" s="20" t="s">
        <v>236</v>
      </c>
      <c r="N109" s="20">
        <v>7.0</v>
      </c>
      <c r="O109" s="20">
        <v>80948.0</v>
      </c>
      <c r="P109" s="20" t="s">
        <v>236</v>
      </c>
      <c r="Q109" s="20" t="s">
        <v>236</v>
      </c>
      <c r="R109" s="20">
        <v>10.0</v>
      </c>
      <c r="S109" s="20">
        <v>938207.0</v>
      </c>
      <c r="T109" s="16">
        <f t="shared" ref="T109:U109" si="105">sum(B109,D109,F109,H109,J109,L109,N109,P109,R109)</f>
        <v>67</v>
      </c>
      <c r="U109" s="16">
        <f t="shared" si="105"/>
        <v>1320965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</row>
    <row r="110">
      <c r="A110" s="20" t="s">
        <v>420</v>
      </c>
      <c r="B110" s="20">
        <v>9.0</v>
      </c>
      <c r="C110" s="20">
        <v>37469.0</v>
      </c>
      <c r="D110" s="20">
        <v>1.0</v>
      </c>
      <c r="E110" s="20">
        <v>3581.0</v>
      </c>
      <c r="F110" s="20">
        <v>4.0</v>
      </c>
      <c r="G110" s="20">
        <v>14599.0</v>
      </c>
      <c r="H110" s="20" t="s">
        <v>236</v>
      </c>
      <c r="I110" s="20" t="s">
        <v>236</v>
      </c>
      <c r="J110" s="20">
        <v>5.0</v>
      </c>
      <c r="K110" s="20">
        <v>100496.0</v>
      </c>
      <c r="L110" s="20">
        <v>1.0</v>
      </c>
      <c r="M110" s="20">
        <v>12413.0</v>
      </c>
      <c r="N110" s="20">
        <v>1.0</v>
      </c>
      <c r="O110" s="20">
        <v>3749.0</v>
      </c>
      <c r="P110" s="20">
        <v>2.0</v>
      </c>
      <c r="Q110" s="20">
        <v>3644.0</v>
      </c>
      <c r="R110" s="20">
        <v>1.0</v>
      </c>
      <c r="S110" s="20">
        <v>207213.0</v>
      </c>
      <c r="T110" s="16">
        <f t="shared" ref="T110:U110" si="106">sum(B110,D110,F110,H110,J110,L110,N110,P110,R110)</f>
        <v>24</v>
      </c>
      <c r="U110" s="16">
        <f t="shared" si="106"/>
        <v>383164</v>
      </c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</row>
    <row r="111">
      <c r="A111" s="20" t="s">
        <v>423</v>
      </c>
      <c r="B111" s="20">
        <v>6.0</v>
      </c>
      <c r="C111" s="20">
        <v>50430.0</v>
      </c>
      <c r="D111" s="20" t="s">
        <v>236</v>
      </c>
      <c r="E111" s="20" t="s">
        <v>236</v>
      </c>
      <c r="F111" s="20">
        <v>4.0</v>
      </c>
      <c r="G111" s="20">
        <v>14708.0</v>
      </c>
      <c r="H111" s="20" t="s">
        <v>236</v>
      </c>
      <c r="I111" s="20" t="s">
        <v>236</v>
      </c>
      <c r="J111" s="20" t="s">
        <v>236</v>
      </c>
      <c r="K111" s="20" t="s">
        <v>236</v>
      </c>
      <c r="L111" s="20" t="s">
        <v>236</v>
      </c>
      <c r="M111" s="20" t="s">
        <v>236</v>
      </c>
      <c r="N111" s="20">
        <v>1.0</v>
      </c>
      <c r="O111" s="20">
        <v>3839.0</v>
      </c>
      <c r="P111" s="20">
        <v>3.0</v>
      </c>
      <c r="Q111" s="20">
        <v>8682.0</v>
      </c>
      <c r="R111" s="20" t="s">
        <v>236</v>
      </c>
      <c r="S111" s="20"/>
      <c r="T111" s="16">
        <f t="shared" ref="T111:U111" si="107">sum(B111,D111,F111,H111,J111,L111,N111,P111,R111)</f>
        <v>14</v>
      </c>
      <c r="U111" s="16">
        <f t="shared" si="107"/>
        <v>77659</v>
      </c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>
      <c r="A112" s="20" t="s">
        <v>432</v>
      </c>
      <c r="B112" s="20">
        <v>17.0</v>
      </c>
      <c r="C112" s="20">
        <v>211571.0</v>
      </c>
      <c r="D112" s="20" t="s">
        <v>236</v>
      </c>
      <c r="E112" s="20" t="s">
        <v>236</v>
      </c>
      <c r="F112" s="20">
        <v>12.0</v>
      </c>
      <c r="G112" s="20">
        <v>43430.0</v>
      </c>
      <c r="H112" s="20" t="s">
        <v>236</v>
      </c>
      <c r="I112" s="20" t="s">
        <v>236</v>
      </c>
      <c r="J112" s="20">
        <v>44.0</v>
      </c>
      <c r="K112" s="20">
        <v>972202.0</v>
      </c>
      <c r="L112" s="20" t="s">
        <v>236</v>
      </c>
      <c r="M112" s="20" t="s">
        <v>236</v>
      </c>
      <c r="N112" s="20">
        <v>17.0</v>
      </c>
      <c r="O112" s="20">
        <v>58938.0</v>
      </c>
      <c r="P112" s="20" t="s">
        <v>236</v>
      </c>
      <c r="Q112" s="20" t="s">
        <v>236</v>
      </c>
      <c r="R112" s="20">
        <v>1.0</v>
      </c>
      <c r="S112" s="20">
        <v>166813.0</v>
      </c>
      <c r="T112" s="16">
        <f t="shared" ref="T112:U112" si="108">sum(B112,D112,F112,H112,J112,L112,N112,P112,R112)</f>
        <v>91</v>
      </c>
      <c r="U112" s="16">
        <f t="shared" si="108"/>
        <v>1452954</v>
      </c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</row>
    <row r="113">
      <c r="A113" s="20" t="s">
        <v>434</v>
      </c>
      <c r="B113" s="20">
        <v>6.0</v>
      </c>
      <c r="C113" s="20">
        <v>58534.0</v>
      </c>
      <c r="D113" s="20" t="s">
        <v>236</v>
      </c>
      <c r="E113" s="20" t="s">
        <v>236</v>
      </c>
      <c r="F113" s="20" t="s">
        <v>236</v>
      </c>
      <c r="G113" s="20" t="s">
        <v>236</v>
      </c>
      <c r="H113" s="20" t="s">
        <v>236</v>
      </c>
      <c r="I113" s="20" t="s">
        <v>236</v>
      </c>
      <c r="J113" s="20">
        <v>14.0</v>
      </c>
      <c r="K113" s="20">
        <v>856768.0</v>
      </c>
      <c r="L113" s="20" t="s">
        <v>236</v>
      </c>
      <c r="M113" s="20" t="s">
        <v>236</v>
      </c>
      <c r="N113" s="20">
        <v>12.0</v>
      </c>
      <c r="O113" s="20">
        <v>39678.0</v>
      </c>
      <c r="P113" s="20" t="s">
        <v>236</v>
      </c>
      <c r="Q113" s="20" t="s">
        <v>236</v>
      </c>
      <c r="R113" s="20">
        <v>1.0</v>
      </c>
      <c r="S113" s="20">
        <v>166813.0</v>
      </c>
      <c r="T113" s="16">
        <f t="shared" ref="T113:U113" si="109">sum(B113,D113,F113,H113,J113,L113,N113,P113,R113)</f>
        <v>33</v>
      </c>
      <c r="U113" s="16">
        <f t="shared" si="109"/>
        <v>1121793</v>
      </c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</row>
    <row r="114">
      <c r="A114" s="20" t="s">
        <v>440</v>
      </c>
      <c r="B114" s="20">
        <v>25.0</v>
      </c>
      <c r="C114" s="20">
        <v>1000107.0</v>
      </c>
      <c r="D114" s="20">
        <v>12.0</v>
      </c>
      <c r="E114" s="20">
        <v>101555.0</v>
      </c>
      <c r="F114" s="20">
        <v>6.0</v>
      </c>
      <c r="G114" s="20">
        <v>165236.0</v>
      </c>
      <c r="H114" s="20">
        <v>1.0</v>
      </c>
      <c r="I114" s="20">
        <v>1904.0</v>
      </c>
      <c r="J114" s="20">
        <v>41.0</v>
      </c>
      <c r="K114" s="20">
        <v>243654.0</v>
      </c>
      <c r="L114" s="20" t="s">
        <v>236</v>
      </c>
      <c r="M114" s="20" t="s">
        <v>236</v>
      </c>
      <c r="N114" s="20" t="s">
        <v>236</v>
      </c>
      <c r="O114" s="20" t="s">
        <v>236</v>
      </c>
      <c r="P114" s="20">
        <v>13.0</v>
      </c>
      <c r="Q114" s="20">
        <v>120698.0</v>
      </c>
      <c r="R114" s="20">
        <v>16.0</v>
      </c>
      <c r="S114" s="20">
        <v>4486020.0</v>
      </c>
      <c r="T114" s="16">
        <f t="shared" ref="T114:U114" si="110">sum(B114,D114,F114,H114,J114,L114,N114,P114,R114)</f>
        <v>114</v>
      </c>
      <c r="U114" s="16">
        <f t="shared" si="110"/>
        <v>6119174</v>
      </c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</row>
    <row r="115">
      <c r="A115" s="20" t="s">
        <v>436</v>
      </c>
      <c r="B115" s="20">
        <v>4.0</v>
      </c>
      <c r="C115" s="20">
        <v>14741.0</v>
      </c>
      <c r="D115" s="20">
        <v>1.0</v>
      </c>
      <c r="E115" s="20">
        <v>3583.0</v>
      </c>
      <c r="F115" s="20" t="s">
        <v>236</v>
      </c>
      <c r="G115" s="20" t="s">
        <v>236</v>
      </c>
      <c r="H115" s="20" t="s">
        <v>236</v>
      </c>
      <c r="I115" s="20" t="s">
        <v>236</v>
      </c>
      <c r="J115" s="20">
        <v>3.0</v>
      </c>
      <c r="K115" s="20">
        <v>78045.0</v>
      </c>
      <c r="L115" s="20" t="s">
        <v>236</v>
      </c>
      <c r="M115" s="20" t="s">
        <v>236</v>
      </c>
      <c r="N115" s="20">
        <v>1.0</v>
      </c>
      <c r="O115" s="20">
        <v>3377.0</v>
      </c>
      <c r="P115" s="20">
        <v>2.0</v>
      </c>
      <c r="Q115" s="20">
        <v>3656.0</v>
      </c>
      <c r="R115" s="20" t="s">
        <v>236</v>
      </c>
      <c r="S115" s="20"/>
      <c r="T115" s="16">
        <f t="shared" ref="T115:U115" si="111">sum(B115,D115,F115,H115,J115,L115,N115,P115,R115)</f>
        <v>11</v>
      </c>
      <c r="U115" s="16">
        <f t="shared" si="111"/>
        <v>103402</v>
      </c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>
      <c r="A116" s="20" t="s">
        <v>438</v>
      </c>
      <c r="B116" s="20">
        <v>4.0</v>
      </c>
      <c r="C116" s="20">
        <v>12028.0</v>
      </c>
      <c r="D116" s="20" t="s">
        <v>236</v>
      </c>
      <c r="E116" s="20" t="s">
        <v>236</v>
      </c>
      <c r="F116" s="20" t="s">
        <v>236</v>
      </c>
      <c r="G116" s="20" t="s">
        <v>236</v>
      </c>
      <c r="H116" s="20" t="s">
        <v>236</v>
      </c>
      <c r="I116" s="20" t="s">
        <v>236</v>
      </c>
      <c r="J116" s="20">
        <v>1.0</v>
      </c>
      <c r="K116" s="20">
        <v>30976.0</v>
      </c>
      <c r="L116" s="20">
        <v>1.0</v>
      </c>
      <c r="M116" s="20">
        <v>12419.0</v>
      </c>
      <c r="N116" s="20">
        <v>1.0</v>
      </c>
      <c r="O116" s="20">
        <v>0.0</v>
      </c>
      <c r="P116" s="20" t="s">
        <v>236</v>
      </c>
      <c r="Q116" s="20" t="s">
        <v>236</v>
      </c>
      <c r="R116" s="20" t="s">
        <v>236</v>
      </c>
      <c r="S116" s="20"/>
      <c r="T116" s="16">
        <f t="shared" ref="T116:U116" si="112">sum(B116,D116,F116,H116,J116,L116,N116,P116,R116)</f>
        <v>7</v>
      </c>
      <c r="U116" s="16">
        <f t="shared" si="112"/>
        <v>55423</v>
      </c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</row>
    <row r="117">
      <c r="A117" s="20" t="s">
        <v>455</v>
      </c>
      <c r="B117" s="20">
        <v>31.0</v>
      </c>
      <c r="C117" s="20">
        <v>870395.0</v>
      </c>
      <c r="D117" s="20">
        <v>14.0</v>
      </c>
      <c r="E117" s="20">
        <v>87034.0</v>
      </c>
      <c r="F117" s="20">
        <v>8.0</v>
      </c>
      <c r="G117" s="20">
        <v>69818.0</v>
      </c>
      <c r="H117" s="20">
        <v>1.0</v>
      </c>
      <c r="I117" s="20">
        <v>544.0</v>
      </c>
      <c r="J117" s="20">
        <v>10.0</v>
      </c>
      <c r="K117" s="20">
        <v>206415.0</v>
      </c>
      <c r="L117" s="20">
        <v>1.0</v>
      </c>
      <c r="M117" s="20">
        <v>25040.0</v>
      </c>
      <c r="N117" s="20">
        <v>5.0</v>
      </c>
      <c r="O117" s="20">
        <v>28298.0</v>
      </c>
      <c r="P117" s="20">
        <v>12.0</v>
      </c>
      <c r="Q117" s="20">
        <v>58860.0</v>
      </c>
      <c r="R117" s="20" t="s">
        <v>236</v>
      </c>
      <c r="S117" s="20"/>
      <c r="T117" s="16">
        <f t="shared" ref="T117:U117" si="113">sum(B117,D117,F117,H117,J117,L117,N117,P117,R117)</f>
        <v>82</v>
      </c>
      <c r="U117" s="16">
        <f t="shared" si="113"/>
        <v>1346404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</row>
    <row r="118">
      <c r="A118" s="20" t="s">
        <v>462</v>
      </c>
      <c r="B118" s="20" t="s">
        <v>236</v>
      </c>
      <c r="C118" s="20" t="s">
        <v>236</v>
      </c>
      <c r="D118" s="20" t="s">
        <v>236</v>
      </c>
      <c r="E118" s="20" t="s">
        <v>236</v>
      </c>
      <c r="F118" s="20">
        <v>194.0</v>
      </c>
      <c r="G118" s="20">
        <v>202640.0</v>
      </c>
      <c r="H118" s="20">
        <v>3.0</v>
      </c>
      <c r="I118" s="20">
        <v>706.0</v>
      </c>
      <c r="J118" s="20">
        <v>2.0</v>
      </c>
      <c r="K118" s="20">
        <v>12188.0</v>
      </c>
      <c r="L118" s="20">
        <v>1.0</v>
      </c>
      <c r="M118" s="20">
        <v>11114.0</v>
      </c>
      <c r="N118" s="20" t="s">
        <v>236</v>
      </c>
      <c r="O118" s="20" t="s">
        <v>236</v>
      </c>
      <c r="P118" s="20" t="s">
        <v>236</v>
      </c>
      <c r="Q118" s="20" t="s">
        <v>236</v>
      </c>
      <c r="R118" s="20" t="s">
        <v>236</v>
      </c>
      <c r="S118" s="20"/>
      <c r="T118" s="16">
        <f t="shared" ref="T118:U118" si="114">sum(B118,D118,F118,H118,J118,L118,N118,P118,R118)</f>
        <v>200</v>
      </c>
      <c r="U118" s="16">
        <f t="shared" si="114"/>
        <v>226648</v>
      </c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>
      <c r="A119" s="20" t="s">
        <v>441</v>
      </c>
      <c r="B119" s="20">
        <v>1.0</v>
      </c>
      <c r="C119" s="20">
        <v>5450.0</v>
      </c>
      <c r="D119" s="20">
        <v>2.0</v>
      </c>
      <c r="E119" s="20">
        <v>3529.0</v>
      </c>
      <c r="F119" s="20">
        <v>8.0</v>
      </c>
      <c r="G119" s="20">
        <v>12652.0</v>
      </c>
      <c r="H119" s="20" t="s">
        <v>236</v>
      </c>
      <c r="I119" s="20" t="s">
        <v>236</v>
      </c>
      <c r="J119" s="20">
        <v>20.0</v>
      </c>
      <c r="K119" s="20">
        <v>497947.0</v>
      </c>
      <c r="L119" s="20">
        <v>1.0</v>
      </c>
      <c r="M119" s="20">
        <v>11912.0</v>
      </c>
      <c r="N119" s="20">
        <v>2.0</v>
      </c>
      <c r="O119" s="20">
        <v>6955.0</v>
      </c>
      <c r="P119" s="20">
        <v>1.0</v>
      </c>
      <c r="Q119" s="20">
        <v>5436.0</v>
      </c>
      <c r="R119" s="20">
        <v>6.0</v>
      </c>
      <c r="S119" s="20">
        <v>4200494.0</v>
      </c>
      <c r="T119" s="16">
        <f t="shared" ref="T119:U119" si="115">sum(B119,D119,F119,H119,J119,L119,N119,P119,R119)</f>
        <v>41</v>
      </c>
      <c r="U119" s="16">
        <f t="shared" si="115"/>
        <v>4744375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>
      <c r="A120" s="20" t="s">
        <v>445</v>
      </c>
      <c r="B120" s="20">
        <v>5.0</v>
      </c>
      <c r="C120" s="20">
        <v>51297.0</v>
      </c>
      <c r="D120" s="20" t="s">
        <v>236</v>
      </c>
      <c r="E120" s="20" t="s">
        <v>236</v>
      </c>
      <c r="F120" s="20" t="s">
        <v>236</v>
      </c>
      <c r="G120" s="20" t="s">
        <v>236</v>
      </c>
      <c r="H120" s="20" t="s">
        <v>236</v>
      </c>
      <c r="I120" s="20" t="s">
        <v>236</v>
      </c>
      <c r="J120" s="20">
        <v>2.0</v>
      </c>
      <c r="K120" s="20">
        <v>51062.0</v>
      </c>
      <c r="L120" s="20" t="s">
        <v>236</v>
      </c>
      <c r="M120" s="20" t="s">
        <v>236</v>
      </c>
      <c r="N120" s="20">
        <v>1.0</v>
      </c>
      <c r="O120" s="20">
        <v>3839.0</v>
      </c>
      <c r="P120" s="20">
        <v>1.0</v>
      </c>
      <c r="Q120" s="20">
        <v>6129.0</v>
      </c>
      <c r="R120" s="20">
        <v>1.0</v>
      </c>
      <c r="S120" s="20">
        <v>5721.0</v>
      </c>
      <c r="T120" s="16">
        <f t="shared" ref="T120:U120" si="116">sum(B120,D120,F120,H120,J120,L120,N120,P120,R120)</f>
        <v>10</v>
      </c>
      <c r="U120" s="16">
        <f t="shared" si="116"/>
        <v>118048</v>
      </c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</row>
    <row r="121">
      <c r="A121" s="20" t="s">
        <v>446</v>
      </c>
      <c r="B121" s="20">
        <v>3.0</v>
      </c>
      <c r="C121" s="20">
        <v>27505.0</v>
      </c>
      <c r="D121" s="20">
        <v>5.0</v>
      </c>
      <c r="E121" s="20">
        <v>16962.0</v>
      </c>
      <c r="F121" s="20">
        <v>2.0</v>
      </c>
      <c r="G121" s="20">
        <v>7868.0</v>
      </c>
      <c r="H121" s="20" t="s">
        <v>236</v>
      </c>
      <c r="I121" s="20" t="s">
        <v>236</v>
      </c>
      <c r="J121" s="20">
        <v>9.0</v>
      </c>
      <c r="K121" s="20">
        <v>234553.0</v>
      </c>
      <c r="L121" s="20" t="s">
        <v>236</v>
      </c>
      <c r="M121" s="20" t="s">
        <v>236</v>
      </c>
      <c r="N121" s="20" t="s">
        <v>236</v>
      </c>
      <c r="O121" s="20" t="s">
        <v>236</v>
      </c>
      <c r="P121" s="20">
        <v>1.0</v>
      </c>
      <c r="Q121" s="20">
        <v>4252.0</v>
      </c>
      <c r="R121" s="20">
        <v>1.0</v>
      </c>
      <c r="S121" s="20">
        <v>338044.0</v>
      </c>
      <c r="T121" s="16">
        <f t="shared" ref="T121:U121" si="117">sum(B121,D121,F121,H121,J121,L121,N121,P121,R121)</f>
        <v>21</v>
      </c>
      <c r="U121" s="16">
        <f t="shared" si="117"/>
        <v>629184</v>
      </c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</row>
    <row r="122">
      <c r="A122" s="20" t="s">
        <v>453</v>
      </c>
      <c r="B122" s="20" t="s">
        <v>236</v>
      </c>
      <c r="C122" s="20" t="s">
        <v>236</v>
      </c>
      <c r="D122" s="20" t="s">
        <v>236</v>
      </c>
      <c r="E122" s="20" t="s">
        <v>236</v>
      </c>
      <c r="F122" s="20">
        <v>3.0</v>
      </c>
      <c r="G122" s="20">
        <v>8636.0</v>
      </c>
      <c r="H122" s="20">
        <v>1.0</v>
      </c>
      <c r="I122" s="20">
        <v>7.0</v>
      </c>
      <c r="J122" s="20">
        <v>1.0</v>
      </c>
      <c r="K122" s="20">
        <v>7865.0</v>
      </c>
      <c r="L122" s="20">
        <v>1.0</v>
      </c>
      <c r="M122" s="20">
        <v>11146.0</v>
      </c>
      <c r="N122" s="20" t="s">
        <v>236</v>
      </c>
      <c r="O122" s="20" t="s">
        <v>236</v>
      </c>
      <c r="P122" s="20" t="s">
        <v>236</v>
      </c>
      <c r="Q122" s="20" t="s">
        <v>236</v>
      </c>
      <c r="R122" s="20" t="s">
        <v>236</v>
      </c>
      <c r="S122" s="20"/>
      <c r="T122" s="16">
        <f t="shared" ref="T122:U122" si="118">sum(B122,D122,F122,H122,J122,L122,N122,P122,R122)</f>
        <v>6</v>
      </c>
      <c r="U122" s="16">
        <f t="shared" si="118"/>
        <v>27654</v>
      </c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</row>
    <row r="123">
      <c r="A123" s="20" t="s">
        <v>485</v>
      </c>
      <c r="B123" s="20">
        <v>95.0</v>
      </c>
      <c r="C123" s="20">
        <v>4193696.0</v>
      </c>
      <c r="D123" s="20">
        <v>50.0</v>
      </c>
      <c r="E123" s="20">
        <v>50919.0</v>
      </c>
      <c r="F123" s="20">
        <v>48.0</v>
      </c>
      <c r="G123" s="20">
        <v>273221.0</v>
      </c>
      <c r="H123" s="20">
        <v>2.0</v>
      </c>
      <c r="I123" s="20">
        <v>1088.0</v>
      </c>
      <c r="J123" s="20">
        <v>19.0</v>
      </c>
      <c r="K123" s="20">
        <v>168623.0</v>
      </c>
      <c r="L123" s="20" t="s">
        <v>236</v>
      </c>
      <c r="M123" s="20" t="s">
        <v>236</v>
      </c>
      <c r="N123" s="20">
        <v>19.0</v>
      </c>
      <c r="O123" s="20">
        <v>220097.0</v>
      </c>
      <c r="P123" s="20">
        <v>6.0</v>
      </c>
      <c r="Q123" s="20">
        <v>240854.0</v>
      </c>
      <c r="R123" s="20">
        <v>26.0</v>
      </c>
      <c r="S123" s="20">
        <v>2363617.0</v>
      </c>
      <c r="T123" s="16">
        <f t="shared" ref="T123:U123" si="119">sum(B123,D123,F123,H123,J123,L123,N123,P123,R123)</f>
        <v>265</v>
      </c>
      <c r="U123" s="16">
        <f t="shared" si="119"/>
        <v>7512115</v>
      </c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</row>
    <row r="124">
      <c r="A124" s="20" t="s">
        <v>456</v>
      </c>
      <c r="B124" s="20">
        <v>66.0</v>
      </c>
      <c r="C124" s="20">
        <v>595774.0</v>
      </c>
      <c r="D124" s="20">
        <v>9.0</v>
      </c>
      <c r="E124" s="20">
        <v>29138.0</v>
      </c>
      <c r="F124" s="20" t="s">
        <v>236</v>
      </c>
      <c r="G124" s="20" t="s">
        <v>236</v>
      </c>
      <c r="H124" s="20">
        <v>1.0</v>
      </c>
      <c r="I124" s="20">
        <v>272.0</v>
      </c>
      <c r="J124" s="20" t="s">
        <v>236</v>
      </c>
      <c r="K124" s="20" t="s">
        <v>236</v>
      </c>
      <c r="L124" s="20" t="s">
        <v>236</v>
      </c>
      <c r="M124" s="20" t="s">
        <v>236</v>
      </c>
      <c r="N124" s="20">
        <v>35.0</v>
      </c>
      <c r="O124" s="20">
        <v>153546.0</v>
      </c>
      <c r="P124" s="20" t="s">
        <v>236</v>
      </c>
      <c r="Q124" s="20" t="s">
        <v>236</v>
      </c>
      <c r="R124" s="20">
        <v>7.0</v>
      </c>
      <c r="S124" s="20">
        <v>2474002.0</v>
      </c>
      <c r="T124" s="16">
        <f t="shared" ref="T124:U124" si="120">sum(B124,D124,F124,H124,J124,L124,N124,P124,R124)</f>
        <v>118</v>
      </c>
      <c r="U124" s="16">
        <f t="shared" si="120"/>
        <v>3252732</v>
      </c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</row>
    <row r="125">
      <c r="A125" s="20" t="s">
        <v>461</v>
      </c>
      <c r="B125" s="20" t="s">
        <v>236</v>
      </c>
      <c r="C125" s="20" t="s">
        <v>236</v>
      </c>
      <c r="D125" s="20" t="s">
        <v>236</v>
      </c>
      <c r="E125" s="20" t="s">
        <v>236</v>
      </c>
      <c r="F125" s="20" t="s">
        <v>236</v>
      </c>
      <c r="G125" s="20" t="s">
        <v>236</v>
      </c>
      <c r="H125" s="20" t="s">
        <v>236</v>
      </c>
      <c r="I125" s="20" t="s">
        <v>236</v>
      </c>
      <c r="J125" s="20">
        <v>2.0</v>
      </c>
      <c r="K125" s="20">
        <v>32164.0</v>
      </c>
      <c r="L125" s="20" t="s">
        <v>236</v>
      </c>
      <c r="M125" s="20" t="s">
        <v>236</v>
      </c>
      <c r="N125" s="20" t="s">
        <v>236</v>
      </c>
      <c r="O125" s="20" t="s">
        <v>236</v>
      </c>
      <c r="P125" s="20">
        <v>4.0</v>
      </c>
      <c r="Q125" s="20">
        <v>3737.0</v>
      </c>
      <c r="R125" s="20" t="s">
        <v>236</v>
      </c>
      <c r="S125" s="20"/>
      <c r="T125" s="16">
        <f t="shared" ref="T125:U125" si="121">sum(B125,D125,F125,H125,J125,L125,N125,P125,R125)</f>
        <v>6</v>
      </c>
      <c r="U125" s="16">
        <f t="shared" si="121"/>
        <v>35901</v>
      </c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</row>
    <row r="126">
      <c r="A126" s="20" t="s">
        <v>463</v>
      </c>
      <c r="B126" s="20" t="s">
        <v>236</v>
      </c>
      <c r="C126" s="20" t="s">
        <v>236</v>
      </c>
      <c r="D126" s="20" t="s">
        <v>236</v>
      </c>
      <c r="E126" s="20" t="s">
        <v>236</v>
      </c>
      <c r="F126" s="20" t="s">
        <v>236</v>
      </c>
      <c r="G126" s="20" t="s">
        <v>236</v>
      </c>
      <c r="H126" s="20" t="s">
        <v>236</v>
      </c>
      <c r="I126" s="20" t="s">
        <v>236</v>
      </c>
      <c r="J126" s="20" t="s">
        <v>236</v>
      </c>
      <c r="K126" s="20" t="s">
        <v>236</v>
      </c>
      <c r="L126" s="20" t="s">
        <v>236</v>
      </c>
      <c r="M126" s="20" t="s">
        <v>236</v>
      </c>
      <c r="N126" s="20" t="s">
        <v>236</v>
      </c>
      <c r="O126" s="20" t="s">
        <v>236</v>
      </c>
      <c r="P126" s="20">
        <v>1.0</v>
      </c>
      <c r="Q126" s="20">
        <v>2813.0</v>
      </c>
      <c r="R126" s="20" t="s">
        <v>236</v>
      </c>
      <c r="S126" s="20"/>
      <c r="T126" s="16">
        <f t="shared" ref="T126:U126" si="122">sum(B126,D126,F126,H126,J126,L126,N126,P126,R126)</f>
        <v>1</v>
      </c>
      <c r="U126" s="16">
        <f t="shared" si="122"/>
        <v>2813</v>
      </c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</row>
    <row r="127">
      <c r="A127" s="20" t="s">
        <v>489</v>
      </c>
      <c r="B127" s="20">
        <v>9.0</v>
      </c>
      <c r="C127" s="20">
        <v>153717.0</v>
      </c>
      <c r="D127" s="20">
        <v>3.0</v>
      </c>
      <c r="E127" s="20">
        <v>22400.0</v>
      </c>
      <c r="F127" s="20">
        <v>41.0</v>
      </c>
      <c r="G127" s="20">
        <v>308828.0</v>
      </c>
      <c r="H127" s="20" t="s">
        <v>236</v>
      </c>
      <c r="I127" s="20" t="s">
        <v>236</v>
      </c>
      <c r="J127" s="20">
        <v>20.0</v>
      </c>
      <c r="K127" s="20">
        <v>119783.0</v>
      </c>
      <c r="L127" s="20">
        <v>2.0</v>
      </c>
      <c r="M127" s="20">
        <v>49120.0</v>
      </c>
      <c r="N127" s="20" t="s">
        <v>236</v>
      </c>
      <c r="O127" s="20" t="s">
        <v>236</v>
      </c>
      <c r="P127" s="20">
        <v>19.0</v>
      </c>
      <c r="Q127" s="20">
        <v>134160.0</v>
      </c>
      <c r="R127" s="20">
        <v>2.0</v>
      </c>
      <c r="S127" s="20">
        <v>27014.0</v>
      </c>
      <c r="T127" s="16">
        <f t="shared" ref="T127:U127" si="123">sum(B127,D127,F127,H127,J127,L127,N127,P127,R127)</f>
        <v>96</v>
      </c>
      <c r="U127" s="16">
        <f t="shared" si="123"/>
        <v>815022</v>
      </c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>
      <c r="A128" s="20" t="s">
        <v>491</v>
      </c>
      <c r="B128" s="20">
        <v>7.0</v>
      </c>
      <c r="C128" s="20">
        <v>119757.0</v>
      </c>
      <c r="D128" s="20">
        <v>3.0</v>
      </c>
      <c r="E128" s="20">
        <v>22400.0</v>
      </c>
      <c r="F128" s="20">
        <v>1.0</v>
      </c>
      <c r="G128" s="20">
        <v>11052.0</v>
      </c>
      <c r="H128" s="20" t="s">
        <v>236</v>
      </c>
      <c r="I128" s="20" t="s">
        <v>236</v>
      </c>
      <c r="J128" s="20">
        <v>18.0</v>
      </c>
      <c r="K128" s="20">
        <v>134051.0</v>
      </c>
      <c r="L128" s="20">
        <v>1.0</v>
      </c>
      <c r="M128" s="20">
        <v>24560.0</v>
      </c>
      <c r="N128" s="20" t="s">
        <v>236</v>
      </c>
      <c r="O128" s="20" t="s">
        <v>236</v>
      </c>
      <c r="P128" s="20">
        <v>3.0</v>
      </c>
      <c r="Q128" s="20">
        <v>16508.0</v>
      </c>
      <c r="R128" s="20" t="s">
        <v>236</v>
      </c>
      <c r="S128" s="20"/>
      <c r="T128" s="16">
        <f t="shared" ref="T128:U128" si="124">sum(B128,D128,F128,H128,J128,L128,N128,P128,R128)</f>
        <v>33</v>
      </c>
      <c r="U128" s="16">
        <f t="shared" si="124"/>
        <v>328328</v>
      </c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</row>
    <row r="129">
      <c r="A129" s="20" t="s">
        <v>492</v>
      </c>
      <c r="B129" s="20">
        <v>1.0</v>
      </c>
      <c r="C129" s="20">
        <v>43431.0</v>
      </c>
      <c r="D129" s="20">
        <v>3.0</v>
      </c>
      <c r="E129" s="20">
        <v>22400.0</v>
      </c>
      <c r="F129" s="20">
        <v>29.0</v>
      </c>
      <c r="G129" s="20">
        <v>187839.0</v>
      </c>
      <c r="H129" s="20" t="s">
        <v>236</v>
      </c>
      <c r="I129" s="20" t="s">
        <v>236</v>
      </c>
      <c r="J129" s="20">
        <v>14.0</v>
      </c>
      <c r="K129" s="20">
        <v>69132.0</v>
      </c>
      <c r="L129" s="20">
        <v>1.0</v>
      </c>
      <c r="M129" s="20">
        <v>24560.0</v>
      </c>
      <c r="N129" s="20" t="s">
        <v>236</v>
      </c>
      <c r="O129" s="20" t="s">
        <v>236</v>
      </c>
      <c r="P129" s="20">
        <v>19.0</v>
      </c>
      <c r="Q129" s="20">
        <v>104747.0</v>
      </c>
      <c r="R129" s="20" t="s">
        <v>236</v>
      </c>
      <c r="S129" s="20"/>
      <c r="T129" s="16">
        <f t="shared" ref="T129:U129" si="125">sum(B129,D129,F129,H129,J129,L129,N129,P129,R129)</f>
        <v>67</v>
      </c>
      <c r="U129" s="16">
        <f t="shared" si="125"/>
        <v>452109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</row>
    <row r="130">
      <c r="A130" s="20" t="s">
        <v>493</v>
      </c>
      <c r="B130" s="20">
        <v>11.0</v>
      </c>
      <c r="C130" s="20">
        <v>188482.0</v>
      </c>
      <c r="D130" s="20">
        <v>3.0</v>
      </c>
      <c r="E130" s="20">
        <v>22400.0</v>
      </c>
      <c r="F130" s="20">
        <v>27.0</v>
      </c>
      <c r="G130" s="20">
        <v>140904.0</v>
      </c>
      <c r="H130" s="20" t="s">
        <v>236</v>
      </c>
      <c r="I130" s="20" t="s">
        <v>236</v>
      </c>
      <c r="J130" s="20">
        <v>7.0</v>
      </c>
      <c r="K130" s="20">
        <v>30205.0</v>
      </c>
      <c r="L130" s="20">
        <v>2.0</v>
      </c>
      <c r="M130" s="20">
        <v>49120.0</v>
      </c>
      <c r="N130" s="20" t="s">
        <v>236</v>
      </c>
      <c r="O130" s="20" t="s">
        <v>236</v>
      </c>
      <c r="P130" s="20">
        <v>18.0</v>
      </c>
      <c r="Q130" s="20">
        <v>121308.0</v>
      </c>
      <c r="R130" s="20">
        <v>2.0</v>
      </c>
      <c r="S130" s="20">
        <v>27026.0</v>
      </c>
      <c r="T130" s="16">
        <f t="shared" ref="T130:U130" si="126">sum(B130,D130,F130,H130,J130,L130,N130,P130,R130)</f>
        <v>70</v>
      </c>
      <c r="U130" s="16">
        <f t="shared" si="126"/>
        <v>579445</v>
      </c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</row>
    <row r="131">
      <c r="A131" s="20" t="s">
        <v>494</v>
      </c>
      <c r="B131" s="20">
        <v>3.0</v>
      </c>
      <c r="C131" s="20">
        <v>77429.0</v>
      </c>
      <c r="D131" s="20">
        <v>3.0</v>
      </c>
      <c r="E131" s="20">
        <v>22400.0</v>
      </c>
      <c r="F131" s="20">
        <v>17.0</v>
      </c>
      <c r="G131" s="20">
        <v>171140.0</v>
      </c>
      <c r="H131" s="20">
        <v>3.0</v>
      </c>
      <c r="I131" s="20">
        <v>1454.0</v>
      </c>
      <c r="J131" s="20">
        <v>45.0</v>
      </c>
      <c r="K131" s="20">
        <v>425501.0</v>
      </c>
      <c r="L131" s="20">
        <v>2.0</v>
      </c>
      <c r="M131" s="20">
        <v>49120.0</v>
      </c>
      <c r="N131" s="20">
        <v>3.0</v>
      </c>
      <c r="O131" s="20">
        <v>17208.0</v>
      </c>
      <c r="P131" s="20">
        <v>3.0</v>
      </c>
      <c r="Q131" s="20">
        <v>16508.0</v>
      </c>
      <c r="R131" s="20">
        <v>2.0</v>
      </c>
      <c r="S131" s="20">
        <v>27026.0</v>
      </c>
      <c r="T131" s="16">
        <f t="shared" ref="T131:U131" si="127">sum(B131,D131,F131,H131,J131,L131,N131,P131,R131)</f>
        <v>81</v>
      </c>
      <c r="U131" s="16">
        <f t="shared" si="127"/>
        <v>807786</v>
      </c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>
      <c r="A132" s="20" t="s">
        <v>495</v>
      </c>
      <c r="B132" s="20">
        <v>5.0</v>
      </c>
      <c r="C132" s="20">
        <v>35848.0</v>
      </c>
      <c r="D132" s="20">
        <v>3.0</v>
      </c>
      <c r="E132" s="20">
        <v>22400.0</v>
      </c>
      <c r="F132" s="20">
        <v>86.0</v>
      </c>
      <c r="G132" s="20">
        <v>621052.0</v>
      </c>
      <c r="H132" s="20" t="s">
        <v>236</v>
      </c>
      <c r="I132" s="20" t="s">
        <v>236</v>
      </c>
      <c r="J132" s="20">
        <v>32.0</v>
      </c>
      <c r="K132" s="20">
        <v>227652.0</v>
      </c>
      <c r="L132" s="20">
        <v>4.0</v>
      </c>
      <c r="M132" s="20">
        <v>99164.0</v>
      </c>
      <c r="N132" s="20">
        <v>3.0</v>
      </c>
      <c r="O132" s="20">
        <v>17298.0</v>
      </c>
      <c r="P132" s="20">
        <v>43.0</v>
      </c>
      <c r="Q132" s="20">
        <v>310242.0</v>
      </c>
      <c r="R132" s="20" t="s">
        <v>236</v>
      </c>
      <c r="S132" s="20"/>
      <c r="T132" s="16">
        <f t="shared" ref="T132:U132" si="128">sum(B132,D132,F132,H132,J132,L132,N132,P132,R132)</f>
        <v>176</v>
      </c>
      <c r="U132" s="16">
        <f t="shared" si="128"/>
        <v>1333656</v>
      </c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>
      <c r="A133" s="20" t="s">
        <v>496</v>
      </c>
      <c r="B133" s="20">
        <v>1.0</v>
      </c>
      <c r="C133" s="20">
        <v>43431.0</v>
      </c>
      <c r="D133" s="20">
        <v>3.0</v>
      </c>
      <c r="E133" s="20">
        <v>22400.0</v>
      </c>
      <c r="F133" s="20">
        <v>1.0</v>
      </c>
      <c r="G133" s="20">
        <v>11052.0</v>
      </c>
      <c r="H133" s="20" t="s">
        <v>236</v>
      </c>
      <c r="I133" s="20" t="s">
        <v>236</v>
      </c>
      <c r="J133" s="20">
        <v>33.0</v>
      </c>
      <c r="K133" s="20">
        <v>218295.0</v>
      </c>
      <c r="L133" s="20">
        <v>1.0</v>
      </c>
      <c r="M133" s="20">
        <v>24560.0</v>
      </c>
      <c r="N133" s="20" t="s">
        <v>236</v>
      </c>
      <c r="O133" s="20" t="s">
        <v>236</v>
      </c>
      <c r="P133" s="20">
        <v>3.0</v>
      </c>
      <c r="Q133" s="20">
        <v>16508.0</v>
      </c>
      <c r="R133" s="20" t="s">
        <v>236</v>
      </c>
      <c r="S133" s="20"/>
      <c r="T133" s="16">
        <f t="shared" ref="T133:U133" si="129">sum(B133,D133,F133,H133,J133,L133,N133,P133,R133)</f>
        <v>42</v>
      </c>
      <c r="U133" s="16">
        <f t="shared" si="129"/>
        <v>336246</v>
      </c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</row>
    <row r="134">
      <c r="A134" s="20" t="s">
        <v>500</v>
      </c>
      <c r="B134" s="20">
        <v>10.0</v>
      </c>
      <c r="C134" s="20">
        <v>65614.0</v>
      </c>
      <c r="D134" s="20">
        <v>4.0</v>
      </c>
      <c r="E134" s="20">
        <v>28846.0</v>
      </c>
      <c r="F134" s="20">
        <v>68.0</v>
      </c>
      <c r="G134" s="20">
        <v>498892.0</v>
      </c>
      <c r="H134" s="20" t="s">
        <v>236</v>
      </c>
      <c r="I134" s="20" t="s">
        <v>236</v>
      </c>
      <c r="J134" s="20">
        <v>71.0</v>
      </c>
      <c r="K134" s="20">
        <v>645582.0</v>
      </c>
      <c r="L134" s="20">
        <v>4.0</v>
      </c>
      <c r="M134" s="20">
        <v>98702.0</v>
      </c>
      <c r="N134" s="20">
        <v>3.0</v>
      </c>
      <c r="O134" s="20">
        <v>17568.0</v>
      </c>
      <c r="P134" s="20">
        <v>34.0</v>
      </c>
      <c r="Q134" s="20">
        <v>251316.0</v>
      </c>
      <c r="R134" s="20">
        <v>3.0</v>
      </c>
      <c r="S134" s="20">
        <v>40610.0</v>
      </c>
      <c r="T134" s="16">
        <f t="shared" ref="T134:U134" si="130">sum(B134,D134,F134,H134,J134,L134,N134,P134,R134)</f>
        <v>197</v>
      </c>
      <c r="U134" s="16">
        <f t="shared" si="130"/>
        <v>1647130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</row>
    <row r="135">
      <c r="A135" s="20" t="s">
        <v>501</v>
      </c>
      <c r="B135" s="20">
        <v>3.0</v>
      </c>
      <c r="C135" s="20">
        <v>12355.0</v>
      </c>
      <c r="D135" s="20">
        <v>1.0</v>
      </c>
      <c r="E135" s="20">
        <v>162.0</v>
      </c>
      <c r="F135" s="20">
        <v>16.0</v>
      </c>
      <c r="G135" s="20">
        <v>111216.0</v>
      </c>
      <c r="H135" s="20" t="s">
        <v>236</v>
      </c>
      <c r="I135" s="20" t="s">
        <v>236</v>
      </c>
      <c r="J135" s="20">
        <v>25.0</v>
      </c>
      <c r="K135" s="20">
        <v>189469.0</v>
      </c>
      <c r="L135" s="20">
        <v>3.0</v>
      </c>
      <c r="M135" s="20">
        <v>29132.0</v>
      </c>
      <c r="N135" s="20">
        <v>4.0</v>
      </c>
      <c r="O135" s="20">
        <v>18076.0</v>
      </c>
      <c r="P135" s="20">
        <v>14.0</v>
      </c>
      <c r="Q135" s="20">
        <v>139521.0</v>
      </c>
      <c r="R135" s="20">
        <v>5.0</v>
      </c>
      <c r="S135" s="20">
        <v>538886.0</v>
      </c>
      <c r="T135" s="16">
        <f t="shared" ref="T135:U135" si="131">sum(B135,D135,F135,H135,J135,L135,N135,P135,R135)</f>
        <v>71</v>
      </c>
      <c r="U135" s="16">
        <f t="shared" si="131"/>
        <v>1038817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</row>
    <row r="136">
      <c r="A136" s="20" t="s">
        <v>502</v>
      </c>
      <c r="B136" s="20">
        <v>2.0</v>
      </c>
      <c r="C136" s="20">
        <v>10238.0</v>
      </c>
      <c r="D136" s="20" t="s">
        <v>236</v>
      </c>
      <c r="E136" s="20" t="s">
        <v>236</v>
      </c>
      <c r="F136" s="20">
        <v>8.0</v>
      </c>
      <c r="G136" s="20">
        <v>54446.0</v>
      </c>
      <c r="H136" s="20" t="s">
        <v>236</v>
      </c>
      <c r="I136" s="20" t="s">
        <v>236</v>
      </c>
      <c r="J136" s="20">
        <v>5.0</v>
      </c>
      <c r="K136" s="20">
        <v>36024.0</v>
      </c>
      <c r="L136" s="20" t="s">
        <v>236</v>
      </c>
      <c r="M136" s="20" t="s">
        <v>236</v>
      </c>
      <c r="N136" s="20">
        <v>1.0</v>
      </c>
      <c r="O136" s="20">
        <v>151080.0</v>
      </c>
      <c r="P136" s="20">
        <v>6.0</v>
      </c>
      <c r="Q136" s="20">
        <v>14884.0</v>
      </c>
      <c r="R136" s="20" t="s">
        <v>236</v>
      </c>
      <c r="S136" s="20"/>
      <c r="T136" s="16">
        <f t="shared" ref="T136:U136" si="132">sum(B136,D136,F136,H136,J136,L136,N136,P136,R136)</f>
        <v>22</v>
      </c>
      <c r="U136" s="16">
        <f t="shared" si="132"/>
        <v>266672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</row>
    <row r="137">
      <c r="A137" s="20" t="s">
        <v>503</v>
      </c>
      <c r="B137" s="20" t="s">
        <v>236</v>
      </c>
      <c r="C137" s="20" t="s">
        <v>236</v>
      </c>
      <c r="D137" s="20" t="s">
        <v>236</v>
      </c>
      <c r="E137" s="20" t="s">
        <v>236</v>
      </c>
      <c r="F137" s="20">
        <v>41.0</v>
      </c>
      <c r="G137" s="20">
        <v>299276.0</v>
      </c>
      <c r="H137" s="20" t="s">
        <v>236</v>
      </c>
      <c r="I137" s="20" t="s">
        <v>236</v>
      </c>
      <c r="J137" s="20">
        <v>60.0</v>
      </c>
      <c r="K137" s="20">
        <v>454305.0</v>
      </c>
      <c r="L137" s="20">
        <v>3.0</v>
      </c>
      <c r="M137" s="20">
        <v>74600.0</v>
      </c>
      <c r="N137" s="20" t="s">
        <v>236</v>
      </c>
      <c r="O137" s="20" t="s">
        <v>236</v>
      </c>
      <c r="P137" s="20">
        <v>24.0</v>
      </c>
      <c r="Q137" s="20">
        <v>176478.0</v>
      </c>
      <c r="R137" s="20" t="s">
        <v>236</v>
      </c>
      <c r="S137" s="20"/>
      <c r="T137" s="16">
        <f t="shared" ref="T137:U137" si="133">sum(B137,D137,F137,H137,J137,L137,N137,P137,R137)</f>
        <v>128</v>
      </c>
      <c r="U137" s="16">
        <f t="shared" si="133"/>
        <v>1004659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>
      <c r="A138" s="20" t="s">
        <v>506</v>
      </c>
      <c r="B138" s="20" t="s">
        <v>236</v>
      </c>
      <c r="C138" s="20" t="s">
        <v>236</v>
      </c>
      <c r="D138" s="20" t="s">
        <v>236</v>
      </c>
      <c r="E138" s="20" t="s">
        <v>236</v>
      </c>
      <c r="F138" s="20">
        <v>14.0</v>
      </c>
      <c r="G138" s="20">
        <v>100558.0</v>
      </c>
      <c r="H138" s="20" t="s">
        <v>236</v>
      </c>
      <c r="I138" s="20" t="s">
        <v>236</v>
      </c>
      <c r="J138" s="20">
        <v>59.0</v>
      </c>
      <c r="K138" s="20">
        <v>376742.0</v>
      </c>
      <c r="L138" s="20" t="s">
        <v>236</v>
      </c>
      <c r="M138" s="20" t="s">
        <v>236</v>
      </c>
      <c r="N138" s="20" t="s">
        <v>236</v>
      </c>
      <c r="O138" s="20" t="s">
        <v>236</v>
      </c>
      <c r="P138" s="20">
        <v>15.0</v>
      </c>
      <c r="Q138" s="20">
        <v>142681.0</v>
      </c>
      <c r="R138" s="20" t="s">
        <v>236</v>
      </c>
      <c r="S138" s="20"/>
      <c r="T138" s="16">
        <f t="shared" ref="T138:U138" si="134">sum(B138,D138,F138,H138,J138,L138,N138,P138,R138)</f>
        <v>88</v>
      </c>
      <c r="U138" s="16">
        <f t="shared" si="134"/>
        <v>619981</v>
      </c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>
      <c r="A139" s="20" t="s">
        <v>508</v>
      </c>
      <c r="B139" s="20">
        <v>11.0</v>
      </c>
      <c r="C139" s="20">
        <v>90604.0</v>
      </c>
      <c r="D139" s="20" t="s">
        <v>236</v>
      </c>
      <c r="E139" s="20" t="s">
        <v>236</v>
      </c>
      <c r="F139" s="20">
        <v>1.0</v>
      </c>
      <c r="G139" s="20">
        <v>11052.0</v>
      </c>
      <c r="H139" s="20" t="s">
        <v>236</v>
      </c>
      <c r="I139" s="20" t="s">
        <v>236</v>
      </c>
      <c r="J139" s="20">
        <v>12.0</v>
      </c>
      <c r="K139" s="20">
        <v>70322.0</v>
      </c>
      <c r="L139" s="20">
        <v>1.0</v>
      </c>
      <c r="M139" s="20">
        <v>24560.0</v>
      </c>
      <c r="N139" s="20">
        <v>6.0</v>
      </c>
      <c r="O139" s="20">
        <v>37350.0</v>
      </c>
      <c r="P139" s="20">
        <v>3.0</v>
      </c>
      <c r="Q139" s="20">
        <v>16508.0</v>
      </c>
      <c r="R139" s="20" t="s">
        <v>236</v>
      </c>
      <c r="S139" s="20"/>
      <c r="T139" s="16">
        <f t="shared" ref="T139:U139" si="135">sum(B139,D139,F139,H139,J139,L139,N139,P139,R139)</f>
        <v>34</v>
      </c>
      <c r="U139" s="16">
        <f t="shared" si="135"/>
        <v>250396</v>
      </c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</row>
    <row r="140">
      <c r="A140" s="20" t="s">
        <v>509</v>
      </c>
      <c r="B140" s="20" t="s">
        <v>236</v>
      </c>
      <c r="C140" s="20" t="s">
        <v>236</v>
      </c>
      <c r="D140" s="20" t="s">
        <v>236</v>
      </c>
      <c r="E140" s="20" t="s">
        <v>236</v>
      </c>
      <c r="F140" s="20" t="s">
        <v>236</v>
      </c>
      <c r="G140" s="20" t="s">
        <v>236</v>
      </c>
      <c r="H140" s="20">
        <v>2.0</v>
      </c>
      <c r="I140" s="20">
        <v>1040.0</v>
      </c>
      <c r="J140" s="20">
        <v>1.0</v>
      </c>
      <c r="K140" s="20">
        <v>4236.0</v>
      </c>
      <c r="L140" s="20" t="s">
        <v>236</v>
      </c>
      <c r="M140" s="20" t="s">
        <v>236</v>
      </c>
      <c r="N140" s="20" t="s">
        <v>236</v>
      </c>
      <c r="O140" s="20" t="s">
        <v>236</v>
      </c>
      <c r="P140" s="20" t="s">
        <v>236</v>
      </c>
      <c r="Q140" s="20" t="s">
        <v>236</v>
      </c>
      <c r="R140" s="20">
        <v>1.0</v>
      </c>
      <c r="S140" s="20">
        <v>7552.0</v>
      </c>
      <c r="T140" s="16">
        <f t="shared" ref="T140:U140" si="136">sum(B140,D140,F140,H140,J140,L140,N140,P140,R140)</f>
        <v>4</v>
      </c>
      <c r="U140" s="16">
        <f t="shared" si="136"/>
        <v>12828</v>
      </c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>
      <c r="A141" s="20" t="s">
        <v>510</v>
      </c>
      <c r="B141" s="20">
        <v>3.0</v>
      </c>
      <c r="C141" s="20">
        <v>17579.0</v>
      </c>
      <c r="D141" s="20" t="s">
        <v>236</v>
      </c>
      <c r="E141" s="20" t="s">
        <v>236</v>
      </c>
      <c r="F141" s="20">
        <v>42.0</v>
      </c>
      <c r="G141" s="20">
        <v>300292.0</v>
      </c>
      <c r="H141" s="20" t="s">
        <v>236</v>
      </c>
      <c r="I141" s="20" t="s">
        <v>236</v>
      </c>
      <c r="J141" s="20">
        <v>29.0</v>
      </c>
      <c r="K141" s="20">
        <v>158374.0</v>
      </c>
      <c r="L141" s="20" t="s">
        <v>236</v>
      </c>
      <c r="M141" s="20" t="s">
        <v>236</v>
      </c>
      <c r="N141" s="20" t="s">
        <v>236</v>
      </c>
      <c r="O141" s="20" t="s">
        <v>236</v>
      </c>
      <c r="P141" s="20">
        <v>24.0</v>
      </c>
      <c r="Q141" s="20">
        <v>175982.0</v>
      </c>
      <c r="R141" s="20">
        <v>2.0</v>
      </c>
      <c r="S141" s="20">
        <v>27006.0</v>
      </c>
      <c r="T141" s="16">
        <f t="shared" ref="T141:U141" si="137">sum(B141,D141,F141,H141,J141,L141,N141,P141,R141)</f>
        <v>100</v>
      </c>
      <c r="U141" s="16">
        <f t="shared" si="137"/>
        <v>679233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</row>
    <row r="142">
      <c r="A142" s="20" t="s">
        <v>459</v>
      </c>
      <c r="B142" s="20" t="s">
        <v>236</v>
      </c>
      <c r="C142" s="20" t="s">
        <v>236</v>
      </c>
      <c r="D142" s="20">
        <v>4.0</v>
      </c>
      <c r="E142" s="20">
        <v>13138.0</v>
      </c>
      <c r="F142" s="20" t="s">
        <v>236</v>
      </c>
      <c r="G142" s="20" t="s">
        <v>236</v>
      </c>
      <c r="H142" s="20" t="s">
        <v>236</v>
      </c>
      <c r="I142" s="20" t="s">
        <v>236</v>
      </c>
      <c r="J142" s="20" t="s">
        <v>236</v>
      </c>
      <c r="K142" s="20" t="s">
        <v>236</v>
      </c>
      <c r="L142" s="20" t="s">
        <v>236</v>
      </c>
      <c r="M142" s="20" t="s">
        <v>236</v>
      </c>
      <c r="N142" s="20" t="s">
        <v>236</v>
      </c>
      <c r="O142" s="20" t="s">
        <v>236</v>
      </c>
      <c r="P142" s="20">
        <v>1.0</v>
      </c>
      <c r="Q142" s="20">
        <v>3789.0</v>
      </c>
      <c r="R142" s="20" t="s">
        <v>236</v>
      </c>
      <c r="S142" s="20"/>
      <c r="T142" s="16">
        <f t="shared" ref="T142:U142" si="138">sum(B142,D142,F142,H142,J142,L142,N142,P142,R142)</f>
        <v>5</v>
      </c>
      <c r="U142" s="16">
        <f t="shared" si="138"/>
        <v>16927</v>
      </c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</row>
    <row r="143">
      <c r="A143" s="20" t="s">
        <v>464</v>
      </c>
      <c r="B143" s="20">
        <v>15.0</v>
      </c>
      <c r="C143" s="20">
        <v>132246.0</v>
      </c>
      <c r="D143" s="20">
        <v>2.0</v>
      </c>
      <c r="E143" s="20">
        <v>6897.0</v>
      </c>
      <c r="F143" s="20">
        <v>1.0</v>
      </c>
      <c r="G143" s="20">
        <v>5479.0</v>
      </c>
      <c r="H143" s="20" t="s">
        <v>236</v>
      </c>
      <c r="I143" s="20" t="s">
        <v>236</v>
      </c>
      <c r="J143" s="20">
        <v>61.0</v>
      </c>
      <c r="K143" s="20">
        <v>1538130.0</v>
      </c>
      <c r="L143" s="20">
        <v>1.0</v>
      </c>
      <c r="M143" s="20">
        <v>12511.0</v>
      </c>
      <c r="N143" s="20">
        <v>11.0</v>
      </c>
      <c r="O143" s="20">
        <v>44564.0</v>
      </c>
      <c r="P143" s="20">
        <v>9.0</v>
      </c>
      <c r="Q143" s="20">
        <v>29732.0</v>
      </c>
      <c r="R143" s="20">
        <v>1.0</v>
      </c>
      <c r="S143" s="20">
        <v>15771.0</v>
      </c>
      <c r="T143" s="16">
        <f t="shared" ref="T143:U143" si="139">sum(B143,D143,F143,H143,J143,L143,N143,P143,R143)</f>
        <v>101</v>
      </c>
      <c r="U143" s="16">
        <f t="shared" si="139"/>
        <v>1785330</v>
      </c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>
      <c r="A144" s="20" t="s">
        <v>466</v>
      </c>
      <c r="B144" s="20">
        <v>24.0</v>
      </c>
      <c r="C144" s="20">
        <v>268413.0</v>
      </c>
      <c r="D144" s="20">
        <v>6.0</v>
      </c>
      <c r="E144" s="20">
        <v>48447.0</v>
      </c>
      <c r="F144" s="20">
        <v>4.0</v>
      </c>
      <c r="G144" s="20">
        <v>14806.0</v>
      </c>
      <c r="H144" s="20" t="s">
        <v>236</v>
      </c>
      <c r="I144" s="20" t="s">
        <v>236</v>
      </c>
      <c r="J144" s="20">
        <v>39.0</v>
      </c>
      <c r="K144" s="20">
        <v>750483.0</v>
      </c>
      <c r="L144" s="20">
        <v>1.0</v>
      </c>
      <c r="M144" s="20">
        <v>12511.0</v>
      </c>
      <c r="N144" s="20">
        <v>12.0</v>
      </c>
      <c r="O144" s="20">
        <v>54448.0</v>
      </c>
      <c r="P144" s="20">
        <v>8.0</v>
      </c>
      <c r="Q144" s="20">
        <v>29560.0</v>
      </c>
      <c r="R144" s="20">
        <v>1.0</v>
      </c>
      <c r="S144" s="20">
        <v>15771.0</v>
      </c>
      <c r="T144" s="16">
        <f t="shared" ref="T144:U144" si="140">sum(B144,D144,F144,H144,J144,L144,N144,P144,R144)</f>
        <v>95</v>
      </c>
      <c r="U144" s="16">
        <f t="shared" si="140"/>
        <v>1194439</v>
      </c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>
      <c r="A145" s="20" t="s">
        <v>469</v>
      </c>
      <c r="B145" s="20">
        <v>60.0</v>
      </c>
      <c r="C145" s="20">
        <v>177584.0</v>
      </c>
      <c r="D145" s="20">
        <v>4.0</v>
      </c>
      <c r="E145" s="20">
        <v>719.0</v>
      </c>
      <c r="F145" s="20" t="s">
        <v>236</v>
      </c>
      <c r="G145" s="20" t="s">
        <v>236</v>
      </c>
      <c r="H145" s="20" t="s">
        <v>236</v>
      </c>
      <c r="I145" s="20" t="s">
        <v>236</v>
      </c>
      <c r="J145" s="20">
        <v>2.0</v>
      </c>
      <c r="K145" s="20">
        <v>38951.0</v>
      </c>
      <c r="L145" s="20" t="s">
        <v>236</v>
      </c>
      <c r="M145" s="20" t="s">
        <v>236</v>
      </c>
      <c r="N145" s="20" t="s">
        <v>236</v>
      </c>
      <c r="O145" s="20" t="s">
        <v>236</v>
      </c>
      <c r="P145" s="20" t="s">
        <v>236</v>
      </c>
      <c r="Q145" s="20" t="s">
        <v>236</v>
      </c>
      <c r="R145" s="20" t="s">
        <v>236</v>
      </c>
      <c r="S145" s="20"/>
      <c r="T145" s="16">
        <f t="shared" ref="T145:U145" si="141">sum(B145,D145,F145,H145,J145,L145,N145,P145,R145)</f>
        <v>66</v>
      </c>
      <c r="U145" s="16">
        <f t="shared" si="141"/>
        <v>217254</v>
      </c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</row>
    <row r="146">
      <c r="A146" s="20" t="s">
        <v>525</v>
      </c>
      <c r="B146" s="20" t="s">
        <v>236</v>
      </c>
      <c r="C146" s="20" t="s">
        <v>236</v>
      </c>
      <c r="D146" s="20">
        <v>2.0</v>
      </c>
      <c r="E146" s="20">
        <v>1788.0</v>
      </c>
      <c r="F146" s="20" t="s">
        <v>236</v>
      </c>
      <c r="G146" s="20" t="s">
        <v>236</v>
      </c>
      <c r="H146" s="20" t="s">
        <v>236</v>
      </c>
      <c r="I146" s="20" t="s">
        <v>236</v>
      </c>
      <c r="J146" s="20">
        <v>10.0</v>
      </c>
      <c r="K146" s="20">
        <v>47778.0</v>
      </c>
      <c r="L146" s="20" t="s">
        <v>236</v>
      </c>
      <c r="M146" s="20" t="s">
        <v>236</v>
      </c>
      <c r="N146" s="20" t="s">
        <v>236</v>
      </c>
      <c r="O146" s="20" t="s">
        <v>236</v>
      </c>
      <c r="P146" s="20" t="s">
        <v>236</v>
      </c>
      <c r="Q146" s="20" t="s">
        <v>236</v>
      </c>
      <c r="R146" s="20">
        <v>1.0</v>
      </c>
      <c r="S146" s="20">
        <v>13602.0</v>
      </c>
      <c r="T146" s="16">
        <f t="shared" ref="T146:U146" si="142">sum(B146,D146,F146,H146,J146,L146,N146,P146,R146)</f>
        <v>13</v>
      </c>
      <c r="U146" s="16">
        <f t="shared" si="142"/>
        <v>63168</v>
      </c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</row>
    <row r="147">
      <c r="A147" s="20" t="s">
        <v>470</v>
      </c>
      <c r="B147" s="20">
        <v>33.0</v>
      </c>
      <c r="C147" s="20">
        <v>2692780.0</v>
      </c>
      <c r="D147" s="20">
        <v>22.0</v>
      </c>
      <c r="E147" s="20">
        <v>74514.0</v>
      </c>
      <c r="F147" s="20" t="s">
        <v>236</v>
      </c>
      <c r="G147" s="20" t="s">
        <v>236</v>
      </c>
      <c r="H147" s="20" t="s">
        <v>236</v>
      </c>
      <c r="I147" s="20" t="s">
        <v>236</v>
      </c>
      <c r="J147" s="20">
        <v>224.0</v>
      </c>
      <c r="K147" s="20">
        <v>4664391.0</v>
      </c>
      <c r="L147" s="20" t="s">
        <v>236</v>
      </c>
      <c r="M147" s="20" t="s">
        <v>236</v>
      </c>
      <c r="N147" s="20">
        <v>1.0</v>
      </c>
      <c r="O147" s="20">
        <v>3711.0</v>
      </c>
      <c r="P147" s="20">
        <v>7.0</v>
      </c>
      <c r="Q147" s="20">
        <v>29869.0</v>
      </c>
      <c r="R147" s="20">
        <v>2.0</v>
      </c>
      <c r="S147" s="20">
        <v>680137.0</v>
      </c>
      <c r="T147" s="16">
        <f t="shared" ref="T147:U147" si="143">sum(B147,D147,F147,H147,J147,L147,N147,P147,R147)</f>
        <v>289</v>
      </c>
      <c r="U147" s="16">
        <f t="shared" si="143"/>
        <v>8145402</v>
      </c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</row>
    <row r="148">
      <c r="A148" s="20" t="s">
        <v>529</v>
      </c>
      <c r="B148" s="20">
        <v>6.0</v>
      </c>
      <c r="C148" s="20">
        <v>267116.0</v>
      </c>
      <c r="D148" s="20">
        <v>26.0</v>
      </c>
      <c r="E148" s="20">
        <v>1254.0</v>
      </c>
      <c r="F148" s="20">
        <v>27.0</v>
      </c>
      <c r="G148" s="20">
        <v>281164.0</v>
      </c>
      <c r="H148" s="20" t="s">
        <v>236</v>
      </c>
      <c r="I148" s="20" t="s">
        <v>236</v>
      </c>
      <c r="J148" s="20">
        <v>27.0</v>
      </c>
      <c r="K148" s="20">
        <v>76065.0</v>
      </c>
      <c r="L148" s="20" t="s">
        <v>236</v>
      </c>
      <c r="M148" s="20" t="s">
        <v>236</v>
      </c>
      <c r="N148" s="20">
        <v>4.0</v>
      </c>
      <c r="O148" s="20">
        <v>492144.0</v>
      </c>
      <c r="P148" s="20" t="s">
        <v>236</v>
      </c>
      <c r="Q148" s="20" t="s">
        <v>236</v>
      </c>
      <c r="R148" s="20">
        <v>30.0</v>
      </c>
      <c r="S148" s="20">
        <v>2395576.0</v>
      </c>
      <c r="T148" s="16">
        <f t="shared" ref="T148:U148" si="144">sum(B148,D148,F148,H148,J148,L148,N148,P148,R148)</f>
        <v>120</v>
      </c>
      <c r="U148" s="16">
        <f t="shared" si="144"/>
        <v>3513319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>
      <c r="A149" s="20" t="s">
        <v>472</v>
      </c>
      <c r="B149" s="20">
        <v>1.0</v>
      </c>
      <c r="C149" s="20">
        <v>14811.0</v>
      </c>
      <c r="D149" s="20">
        <v>5.0</v>
      </c>
      <c r="E149" s="20">
        <v>6928.0</v>
      </c>
      <c r="F149" s="20" t="s">
        <v>236</v>
      </c>
      <c r="G149" s="20" t="s">
        <v>236</v>
      </c>
      <c r="H149" s="20" t="s">
        <v>236</v>
      </c>
      <c r="I149" s="20" t="s">
        <v>236</v>
      </c>
      <c r="J149" s="20">
        <v>3.0</v>
      </c>
      <c r="K149" s="20">
        <v>63679.0</v>
      </c>
      <c r="L149" s="20" t="s">
        <v>236</v>
      </c>
      <c r="M149" s="20" t="s">
        <v>236</v>
      </c>
      <c r="N149" s="20" t="s">
        <v>236</v>
      </c>
      <c r="O149" s="20" t="s">
        <v>236</v>
      </c>
      <c r="P149" s="20">
        <v>1.0</v>
      </c>
      <c r="Q149" s="20">
        <v>962.0</v>
      </c>
      <c r="R149" s="20" t="s">
        <v>236</v>
      </c>
      <c r="S149" s="20"/>
      <c r="T149" s="16">
        <f t="shared" ref="T149:U149" si="145">sum(B149,D149,F149,H149,J149,L149,N149,P149,R149)</f>
        <v>10</v>
      </c>
      <c r="U149" s="16">
        <f t="shared" si="145"/>
        <v>86380</v>
      </c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>
      <c r="A150" s="20" t="s">
        <v>476</v>
      </c>
      <c r="B150" s="20">
        <v>5.0</v>
      </c>
      <c r="C150" s="20">
        <v>54809.0</v>
      </c>
      <c r="D150" s="20">
        <v>9.0</v>
      </c>
      <c r="E150" s="20">
        <v>30185.0</v>
      </c>
      <c r="F150" s="20">
        <v>6.0</v>
      </c>
      <c r="G150" s="20">
        <v>20915.0</v>
      </c>
      <c r="H150" s="20" t="s">
        <v>236</v>
      </c>
      <c r="I150" s="20" t="s">
        <v>236</v>
      </c>
      <c r="J150" s="20">
        <v>39.0</v>
      </c>
      <c r="K150" s="20">
        <v>910349.0</v>
      </c>
      <c r="L150" s="20">
        <v>1.0</v>
      </c>
      <c r="M150" s="20">
        <v>12491.0</v>
      </c>
      <c r="N150" s="20">
        <v>5.0</v>
      </c>
      <c r="O150" s="20">
        <v>15603.0</v>
      </c>
      <c r="P150" s="20">
        <v>7.0</v>
      </c>
      <c r="Q150" s="20">
        <v>28178.0</v>
      </c>
      <c r="R150" s="20">
        <v>2.0</v>
      </c>
      <c r="S150" s="20">
        <v>387909.0</v>
      </c>
      <c r="T150" s="16">
        <f t="shared" ref="T150:U150" si="146">sum(B150,D150,F150,H150,J150,L150,N150,P150,R150)</f>
        <v>74</v>
      </c>
      <c r="U150" s="16">
        <f t="shared" si="146"/>
        <v>1460439</v>
      </c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>
      <c r="A151" s="20" t="s">
        <v>478</v>
      </c>
      <c r="B151" s="20">
        <v>6.0</v>
      </c>
      <c r="C151" s="20">
        <v>49590.0</v>
      </c>
      <c r="D151" s="20" t="s">
        <v>236</v>
      </c>
      <c r="E151" s="20" t="s">
        <v>236</v>
      </c>
      <c r="F151" s="20" t="s">
        <v>236</v>
      </c>
      <c r="G151" s="20" t="s">
        <v>236</v>
      </c>
      <c r="H151" s="20" t="s">
        <v>236</v>
      </c>
      <c r="I151" s="20" t="s">
        <v>236</v>
      </c>
      <c r="J151" s="20" t="s">
        <v>236</v>
      </c>
      <c r="K151" s="20" t="s">
        <v>236</v>
      </c>
      <c r="L151" s="20">
        <v>1.0</v>
      </c>
      <c r="M151" s="20">
        <v>12484.0</v>
      </c>
      <c r="N151" s="20" t="s">
        <v>236</v>
      </c>
      <c r="O151" s="20" t="s">
        <v>236</v>
      </c>
      <c r="P151" s="20" t="s">
        <v>236</v>
      </c>
      <c r="Q151" s="20" t="s">
        <v>236</v>
      </c>
      <c r="R151" s="20">
        <v>1.0</v>
      </c>
      <c r="S151" s="20">
        <v>379475.0</v>
      </c>
      <c r="T151" s="16">
        <f t="shared" ref="T151:U151" si="147">sum(B151,D151,F151,H151,J151,L151,N151,P151,R151)</f>
        <v>8</v>
      </c>
      <c r="U151" s="16">
        <f t="shared" si="147"/>
        <v>441549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</row>
    <row r="152">
      <c r="A152" s="20" t="s">
        <v>480</v>
      </c>
      <c r="B152" s="20">
        <v>9.0</v>
      </c>
      <c r="C152" s="20">
        <v>133915.0</v>
      </c>
      <c r="D152" s="20">
        <v>1.0</v>
      </c>
      <c r="E152" s="20">
        <v>14332.0</v>
      </c>
      <c r="F152" s="20">
        <v>1.0</v>
      </c>
      <c r="G152" s="20">
        <v>5447.0</v>
      </c>
      <c r="H152" s="20" t="s">
        <v>236</v>
      </c>
      <c r="I152" s="20" t="s">
        <v>236</v>
      </c>
      <c r="J152" s="20">
        <v>5.0</v>
      </c>
      <c r="K152" s="20">
        <v>120219.0</v>
      </c>
      <c r="L152" s="20">
        <v>1.0</v>
      </c>
      <c r="M152" s="20">
        <v>46888.0</v>
      </c>
      <c r="N152" s="20">
        <v>1.0</v>
      </c>
      <c r="O152" s="20">
        <v>13508.0</v>
      </c>
      <c r="P152" s="20">
        <v>2.0</v>
      </c>
      <c r="Q152" s="20">
        <v>3656.0</v>
      </c>
      <c r="R152" s="20">
        <v>1.0</v>
      </c>
      <c r="S152" s="20">
        <v>207828.0</v>
      </c>
      <c r="T152" s="16">
        <f t="shared" ref="T152:U152" si="148">sum(B152,D152,F152,H152,J152,L152,N152,P152,R152)</f>
        <v>21</v>
      </c>
      <c r="U152" s="16">
        <f t="shared" si="148"/>
        <v>545793</v>
      </c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</row>
    <row r="153">
      <c r="A153" s="20" t="s">
        <v>185</v>
      </c>
      <c r="B153" s="20">
        <f t="shared" ref="B153:U153" si="149">sum(B5:B152)</f>
        <v>1443</v>
      </c>
      <c r="C153" s="20">
        <f t="shared" si="149"/>
        <v>30380321</v>
      </c>
      <c r="D153" s="20">
        <f t="shared" si="149"/>
        <v>770</v>
      </c>
      <c r="E153" s="20">
        <f t="shared" si="149"/>
        <v>2482716</v>
      </c>
      <c r="F153" s="20">
        <f t="shared" si="149"/>
        <v>1205</v>
      </c>
      <c r="G153" s="20">
        <f t="shared" si="149"/>
        <v>7162309</v>
      </c>
      <c r="H153" s="20">
        <f t="shared" si="149"/>
        <v>42</v>
      </c>
      <c r="I153" s="20">
        <f t="shared" si="149"/>
        <v>18835</v>
      </c>
      <c r="J153" s="20">
        <f t="shared" si="149"/>
        <v>2509</v>
      </c>
      <c r="K153" s="20">
        <f t="shared" si="149"/>
        <v>39544603</v>
      </c>
      <c r="L153" s="20">
        <f t="shared" si="149"/>
        <v>90</v>
      </c>
      <c r="M153" s="20">
        <f t="shared" si="149"/>
        <v>1626456</v>
      </c>
      <c r="N153" s="20">
        <f t="shared" si="149"/>
        <v>512</v>
      </c>
      <c r="O153" s="20">
        <f t="shared" si="149"/>
        <v>4194036</v>
      </c>
      <c r="P153" s="20">
        <f t="shared" si="149"/>
        <v>865</v>
      </c>
      <c r="Q153" s="20">
        <f t="shared" si="149"/>
        <v>6206608</v>
      </c>
      <c r="R153" s="20">
        <f t="shared" si="149"/>
        <v>301</v>
      </c>
      <c r="S153" s="20">
        <f t="shared" si="149"/>
        <v>48920013</v>
      </c>
      <c r="T153" s="20">
        <f t="shared" si="149"/>
        <v>7737</v>
      </c>
      <c r="U153" s="20">
        <f t="shared" si="149"/>
        <v>140535897</v>
      </c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>
      <c r="A154" s="20" t="s">
        <v>1088</v>
      </c>
      <c r="B154" s="20">
        <f>count(B5:B152)</f>
        <v>106</v>
      </c>
      <c r="C154" s="20"/>
      <c r="D154" s="20">
        <f>count(D5:D152)</f>
        <v>84</v>
      </c>
      <c r="E154" s="20"/>
      <c r="F154" s="20">
        <f>count(F5:F152)</f>
        <v>84</v>
      </c>
      <c r="G154" s="20"/>
      <c r="H154" s="20">
        <f>count(H5:H152)</f>
        <v>29</v>
      </c>
      <c r="I154" s="20"/>
      <c r="J154" s="20">
        <f>count(J5:J152)</f>
        <v>125</v>
      </c>
      <c r="K154" s="20"/>
      <c r="L154" s="20">
        <f>count(L5:L152)</f>
        <v>62</v>
      </c>
      <c r="M154" s="20"/>
      <c r="N154" s="20">
        <f>count(N5:N152)</f>
        <v>84</v>
      </c>
      <c r="O154" s="20"/>
      <c r="P154" s="20">
        <f>count(P5:P152)</f>
        <v>107</v>
      </c>
      <c r="Q154" s="20"/>
      <c r="R154" s="20">
        <f>count(R5:R152)</f>
        <v>66</v>
      </c>
      <c r="S154" s="20"/>
      <c r="T154" s="16"/>
      <c r="U154" s="16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16"/>
      <c r="U155" s="16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16"/>
      <c r="U156" s="16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16"/>
      <c r="U157" s="16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16"/>
      <c r="U158" s="16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16"/>
      <c r="U159" s="16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16"/>
      <c r="U160" s="16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16"/>
      <c r="U161" s="16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</row>
    <row r="162">
      <c r="A162" s="24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6"/>
      <c r="U162" s="16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6"/>
      <c r="U163" s="16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6"/>
      <c r="U164" s="16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6"/>
      <c r="U165" s="16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6"/>
      <c r="U166" s="16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6"/>
      <c r="U167" s="16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6"/>
      <c r="U168" s="16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6"/>
      <c r="U169" s="16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6"/>
      <c r="U170" s="16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6"/>
      <c r="U171" s="16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6"/>
      <c r="U172" s="16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6"/>
      <c r="U173" s="16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6"/>
      <c r="U174" s="16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6"/>
      <c r="U175" s="16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6"/>
      <c r="U176" s="16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6"/>
      <c r="U177" s="16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6"/>
      <c r="U178" s="16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6"/>
      <c r="U179" s="16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6"/>
      <c r="U180" s="16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6"/>
      <c r="U181" s="16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6"/>
      <c r="U182" s="16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6"/>
      <c r="U183" s="16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6"/>
      <c r="U184" s="16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6"/>
      <c r="U185" s="16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6"/>
      <c r="U186" s="16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6"/>
      <c r="U187" s="16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6"/>
      <c r="U188" s="16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6"/>
      <c r="U189" s="16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6"/>
      <c r="U190" s="16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6"/>
      <c r="U191" s="16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6"/>
      <c r="U192" s="16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6"/>
      <c r="U193" s="16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6"/>
      <c r="U194" s="16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6"/>
      <c r="U195" s="16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6"/>
      <c r="U196" s="16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6"/>
      <c r="U197" s="16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6"/>
      <c r="U198" s="16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6"/>
      <c r="U199" s="16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6"/>
      <c r="U200" s="16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6"/>
      <c r="U201" s="16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6"/>
      <c r="U202" s="16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6"/>
      <c r="U203" s="16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6"/>
      <c r="U204" s="16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6"/>
      <c r="U205" s="16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6"/>
      <c r="U206" s="16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6"/>
      <c r="U207" s="16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6"/>
      <c r="U208" s="16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6"/>
      <c r="U209" s="16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6"/>
      <c r="U210" s="16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6"/>
      <c r="U211" s="16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6"/>
      <c r="U212" s="16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6"/>
      <c r="U213" s="16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6"/>
      <c r="U214" s="16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6"/>
      <c r="U215" s="16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6"/>
      <c r="U216" s="16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6"/>
      <c r="U217" s="16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6"/>
      <c r="U218" s="16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6"/>
      <c r="U219" s="16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6"/>
      <c r="U220" s="16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6"/>
      <c r="U221" s="16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6"/>
      <c r="U222" s="16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6"/>
      <c r="U223" s="16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6"/>
      <c r="U224" s="16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6"/>
      <c r="U225" s="16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6"/>
      <c r="U226" s="16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6"/>
      <c r="U227" s="16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6"/>
      <c r="U228" s="16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6"/>
      <c r="U229" s="16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6"/>
      <c r="U230" s="16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6"/>
      <c r="U231" s="16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6"/>
      <c r="U232" s="16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6"/>
      <c r="U233" s="16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6"/>
      <c r="U234" s="16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6"/>
      <c r="U235" s="16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6"/>
      <c r="U236" s="16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6"/>
      <c r="U237" s="16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6"/>
      <c r="U238" s="16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6"/>
      <c r="U239" s="16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6"/>
      <c r="U240" s="16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6"/>
      <c r="U241" s="16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6"/>
      <c r="U242" s="16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6"/>
      <c r="U243" s="16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6"/>
      <c r="U244" s="16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6"/>
      <c r="U245" s="16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6"/>
      <c r="U246" s="16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6"/>
      <c r="U247" s="16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6"/>
      <c r="U248" s="16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6"/>
      <c r="U249" s="16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6"/>
      <c r="U250" s="16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6"/>
      <c r="U251" s="16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6"/>
      <c r="U252" s="16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6"/>
      <c r="U253" s="16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6"/>
      <c r="U254" s="16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6"/>
      <c r="U255" s="16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6"/>
      <c r="U256" s="16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6"/>
      <c r="U257" s="16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6"/>
      <c r="U258" s="16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6"/>
      <c r="U259" s="16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6"/>
      <c r="U260" s="16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6"/>
      <c r="U261" s="16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6"/>
      <c r="U262" s="16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6"/>
      <c r="U263" s="16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6"/>
      <c r="U264" s="16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6"/>
      <c r="U265" s="16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6"/>
      <c r="U266" s="16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6"/>
      <c r="U267" s="16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6"/>
      <c r="U268" s="16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6"/>
      <c r="U269" s="16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6"/>
      <c r="U270" s="16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6"/>
      <c r="U271" s="16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6"/>
      <c r="U272" s="16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6"/>
      <c r="U273" s="16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6"/>
      <c r="U274" s="16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6"/>
      <c r="U275" s="16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6"/>
      <c r="U276" s="16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6"/>
      <c r="U277" s="16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6"/>
      <c r="U278" s="16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6"/>
      <c r="U279" s="16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6"/>
      <c r="U280" s="16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6"/>
      <c r="U281" s="16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6"/>
      <c r="U282" s="16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6"/>
      <c r="U283" s="16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6"/>
      <c r="U284" s="16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6"/>
      <c r="U285" s="16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6"/>
      <c r="U286" s="16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6"/>
      <c r="U287" s="16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6"/>
      <c r="U288" s="16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6"/>
      <c r="U289" s="16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6"/>
      <c r="U290" s="16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6"/>
      <c r="U291" s="16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6"/>
      <c r="U292" s="16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6"/>
      <c r="U293" s="16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6"/>
      <c r="U294" s="16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6"/>
      <c r="U295" s="16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6"/>
      <c r="U296" s="16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6"/>
      <c r="U297" s="16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6"/>
      <c r="U298" s="16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6"/>
      <c r="U299" s="16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6"/>
      <c r="U300" s="16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6"/>
      <c r="U301" s="16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6"/>
      <c r="U302" s="16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6"/>
      <c r="U303" s="16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6"/>
      <c r="U304" s="16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6"/>
      <c r="U305" s="16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6"/>
      <c r="U306" s="16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6"/>
      <c r="U307" s="16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6"/>
      <c r="U308" s="16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6"/>
      <c r="U309" s="16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6"/>
      <c r="U310" s="16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6"/>
      <c r="U311" s="16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6"/>
      <c r="U312" s="16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6"/>
      <c r="U313" s="16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6"/>
      <c r="U314" s="16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6"/>
      <c r="U315" s="16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6"/>
      <c r="U316" s="16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6"/>
      <c r="U317" s="16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6"/>
      <c r="U318" s="16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6"/>
      <c r="U319" s="16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6"/>
      <c r="U320" s="16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6"/>
      <c r="U321" s="16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6"/>
      <c r="U322" s="16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6"/>
      <c r="U323" s="16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6"/>
      <c r="U324" s="16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6"/>
      <c r="U325" s="16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6"/>
      <c r="U326" s="16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6"/>
      <c r="U327" s="16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6"/>
      <c r="U328" s="16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6"/>
      <c r="U329" s="16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6"/>
      <c r="U330" s="16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6"/>
      <c r="U331" s="16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6"/>
      <c r="U332" s="16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6"/>
      <c r="U333" s="16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6"/>
      <c r="U334" s="16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6"/>
      <c r="U335" s="16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6"/>
      <c r="U336" s="16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6"/>
      <c r="U337" s="16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6"/>
      <c r="U338" s="16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6"/>
      <c r="U339" s="16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6"/>
      <c r="U340" s="16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6"/>
      <c r="U341" s="16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6"/>
      <c r="U342" s="16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6"/>
      <c r="U343" s="16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6"/>
      <c r="U344" s="16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6"/>
      <c r="U345" s="16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6"/>
      <c r="U346" s="16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6"/>
      <c r="U347" s="16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6"/>
      <c r="U348" s="16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6"/>
      <c r="U349" s="16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6"/>
      <c r="U350" s="16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6"/>
      <c r="U351" s="16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6"/>
      <c r="U352" s="16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6"/>
      <c r="U353" s="16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6"/>
      <c r="U354" s="16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6"/>
      <c r="U355" s="16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6"/>
      <c r="U356" s="16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6"/>
      <c r="U357" s="16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6"/>
      <c r="U358" s="16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6"/>
      <c r="U359" s="16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6"/>
      <c r="U360" s="16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6"/>
      <c r="U361" s="16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6"/>
      <c r="U362" s="16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6"/>
      <c r="U363" s="16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6"/>
      <c r="U364" s="16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6"/>
      <c r="U365" s="16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6"/>
      <c r="U366" s="16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6"/>
      <c r="U367" s="16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6"/>
      <c r="U368" s="16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6"/>
      <c r="U369" s="16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6"/>
      <c r="U370" s="16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6"/>
      <c r="U371" s="16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6"/>
      <c r="U372" s="16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6"/>
      <c r="U373" s="16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6"/>
      <c r="U374" s="16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6"/>
      <c r="U375" s="16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6"/>
      <c r="U376" s="16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6"/>
      <c r="U377" s="16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6"/>
      <c r="U378" s="16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6"/>
      <c r="U379" s="16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6"/>
      <c r="U380" s="16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6"/>
      <c r="U381" s="16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6"/>
      <c r="U382" s="16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6"/>
      <c r="U383" s="16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6"/>
      <c r="U384" s="16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6"/>
      <c r="U385" s="16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6"/>
      <c r="U386" s="16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6"/>
      <c r="U387" s="16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6"/>
      <c r="U388" s="16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6"/>
      <c r="U389" s="16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6"/>
      <c r="U390" s="16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6"/>
      <c r="U391" s="16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6"/>
      <c r="U392" s="16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6"/>
      <c r="U393" s="16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6"/>
      <c r="U394" s="16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6"/>
      <c r="U395" s="16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6"/>
      <c r="U396" s="16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6"/>
      <c r="U397" s="16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6"/>
      <c r="U398" s="16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6"/>
      <c r="U399" s="16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6"/>
      <c r="U400" s="16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6"/>
      <c r="U401" s="16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6"/>
      <c r="U402" s="16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6"/>
      <c r="U403" s="16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6"/>
      <c r="U404" s="16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6"/>
      <c r="U405" s="16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6"/>
      <c r="U406" s="16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6"/>
      <c r="U407" s="16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6"/>
      <c r="U408" s="16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6"/>
      <c r="U409" s="16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6"/>
      <c r="U410" s="16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6"/>
      <c r="U411" s="16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6"/>
      <c r="U412" s="16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6"/>
      <c r="U413" s="16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6"/>
      <c r="U414" s="16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6"/>
      <c r="U415" s="16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6"/>
      <c r="U416" s="16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6"/>
      <c r="U417" s="16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6"/>
      <c r="U418" s="16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6"/>
      <c r="U419" s="16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6"/>
      <c r="U420" s="16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6"/>
      <c r="U421" s="16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6"/>
      <c r="U422" s="16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6"/>
      <c r="U423" s="16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6"/>
      <c r="U424" s="16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6"/>
      <c r="U425" s="16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6"/>
      <c r="U426" s="16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6"/>
      <c r="U427" s="16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6"/>
      <c r="U428" s="16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6"/>
      <c r="U429" s="16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6"/>
      <c r="U430" s="16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6"/>
      <c r="U431" s="16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6"/>
      <c r="U432" s="16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6"/>
      <c r="U433" s="16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6"/>
      <c r="U434" s="16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6"/>
      <c r="U435" s="16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6"/>
      <c r="U436" s="16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6"/>
      <c r="U437" s="16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6"/>
      <c r="U438" s="16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6"/>
      <c r="U439" s="16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6"/>
      <c r="U440" s="16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6"/>
      <c r="U441" s="16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6"/>
      <c r="U442" s="16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6"/>
      <c r="U443" s="16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6"/>
      <c r="U444" s="16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6"/>
      <c r="U445" s="16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6"/>
      <c r="U446" s="16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6"/>
      <c r="U447" s="16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6"/>
      <c r="U448" s="16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6"/>
      <c r="U449" s="16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6"/>
      <c r="U450" s="16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6"/>
      <c r="U451" s="16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6"/>
      <c r="U452" s="16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6"/>
      <c r="U453" s="16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6"/>
      <c r="U454" s="16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6"/>
      <c r="U455" s="16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6"/>
      <c r="U456" s="16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6"/>
      <c r="U457" s="16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6"/>
      <c r="U458" s="16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6"/>
      <c r="U459" s="16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6"/>
      <c r="U460" s="16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6"/>
      <c r="U461" s="16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6"/>
      <c r="U462" s="16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6"/>
      <c r="U463" s="16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6"/>
      <c r="U464" s="16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6"/>
      <c r="U465" s="16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6"/>
      <c r="U466" s="16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6"/>
      <c r="U467" s="16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6"/>
      <c r="U468" s="16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6"/>
      <c r="U469" s="16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6"/>
      <c r="U470" s="16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6"/>
      <c r="U471" s="16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6"/>
      <c r="U472" s="16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6"/>
      <c r="U473" s="16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6"/>
      <c r="U474" s="16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6"/>
      <c r="U475" s="16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6"/>
      <c r="U476" s="16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6"/>
      <c r="U477" s="16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6"/>
      <c r="U478" s="16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6"/>
      <c r="U479" s="16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6"/>
      <c r="U480" s="16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6"/>
      <c r="U481" s="16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6"/>
      <c r="U482" s="16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6"/>
      <c r="U483" s="16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6"/>
      <c r="U484" s="16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6"/>
      <c r="U485" s="16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6"/>
      <c r="U486" s="16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6"/>
      <c r="U487" s="16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6"/>
      <c r="U488" s="16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6"/>
      <c r="U489" s="16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6"/>
      <c r="U490" s="16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6"/>
      <c r="U491" s="16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6"/>
      <c r="U492" s="16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6"/>
      <c r="U493" s="16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6"/>
      <c r="U494" s="16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6"/>
      <c r="U495" s="16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6"/>
      <c r="U496" s="16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6"/>
      <c r="U497" s="16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6"/>
      <c r="U498" s="16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6"/>
      <c r="U499" s="16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6"/>
      <c r="U500" s="16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6"/>
      <c r="U501" s="16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6"/>
      <c r="U502" s="16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6"/>
      <c r="U503" s="16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6"/>
      <c r="U504" s="16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6"/>
      <c r="U505" s="16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6"/>
      <c r="U506" s="16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6"/>
      <c r="U507" s="16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6"/>
      <c r="U508" s="16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6"/>
      <c r="U509" s="16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6"/>
      <c r="U510" s="16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6"/>
      <c r="U511" s="16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6"/>
      <c r="U512" s="16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6"/>
      <c r="U513" s="16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6"/>
      <c r="U514" s="16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6"/>
      <c r="U515" s="16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6"/>
      <c r="U516" s="16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6"/>
      <c r="U517" s="16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6"/>
      <c r="U518" s="16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6"/>
      <c r="U519" s="16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6"/>
      <c r="U520" s="16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6"/>
      <c r="U521" s="16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6"/>
      <c r="U522" s="16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6"/>
      <c r="U523" s="16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6"/>
      <c r="U524" s="16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6"/>
      <c r="U525" s="16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6"/>
      <c r="U526" s="16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6"/>
      <c r="U527" s="16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6"/>
      <c r="U528" s="16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6"/>
      <c r="U529" s="16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6"/>
      <c r="U530" s="16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6"/>
      <c r="U531" s="16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6"/>
      <c r="U532" s="16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6"/>
      <c r="U533" s="16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6"/>
      <c r="U534" s="16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6"/>
      <c r="U535" s="16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6"/>
      <c r="U536" s="16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6"/>
      <c r="U537" s="16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6"/>
      <c r="U538" s="16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6"/>
      <c r="U539" s="16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6"/>
      <c r="U540" s="16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6"/>
      <c r="U541" s="16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6"/>
      <c r="U542" s="16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6"/>
      <c r="U543" s="16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6"/>
      <c r="U544" s="16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6"/>
      <c r="U545" s="16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6"/>
      <c r="U546" s="16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6"/>
      <c r="U547" s="16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6"/>
      <c r="U548" s="16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6"/>
      <c r="U549" s="16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6"/>
      <c r="U550" s="16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6"/>
      <c r="U551" s="16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6"/>
      <c r="U552" s="16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6"/>
      <c r="U553" s="16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6"/>
      <c r="U554" s="16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6"/>
      <c r="U555" s="16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6"/>
      <c r="U556" s="16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6"/>
      <c r="U557" s="16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6"/>
      <c r="U558" s="16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6"/>
      <c r="U559" s="16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6"/>
      <c r="U560" s="16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6"/>
      <c r="U561" s="16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6"/>
      <c r="U562" s="16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6"/>
      <c r="U563" s="16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6"/>
      <c r="U564" s="16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6"/>
      <c r="U565" s="16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6"/>
      <c r="U566" s="16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6"/>
      <c r="U567" s="16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6"/>
      <c r="U568" s="16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6"/>
      <c r="U569" s="16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6"/>
      <c r="U570" s="16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6"/>
      <c r="U571" s="16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6"/>
      <c r="U572" s="16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6"/>
      <c r="U573" s="16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6"/>
      <c r="U574" s="16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6"/>
      <c r="U575" s="16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6"/>
      <c r="U576" s="16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6"/>
      <c r="U577" s="16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6"/>
      <c r="U578" s="16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6"/>
      <c r="U579" s="16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6"/>
      <c r="U580" s="16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6"/>
      <c r="U581" s="16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6"/>
      <c r="U582" s="16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6"/>
      <c r="U583" s="16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6"/>
      <c r="U584" s="16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6"/>
      <c r="U585" s="16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6"/>
      <c r="U586" s="16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6"/>
      <c r="U587" s="16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6"/>
      <c r="U588" s="16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6"/>
      <c r="U589" s="16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6"/>
      <c r="U590" s="16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6"/>
      <c r="U591" s="16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6"/>
      <c r="U592" s="16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6"/>
      <c r="U593" s="16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6"/>
      <c r="U594" s="16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6"/>
      <c r="U595" s="16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6"/>
      <c r="U596" s="16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6"/>
      <c r="U597" s="16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6"/>
      <c r="U598" s="16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6"/>
      <c r="U599" s="16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6"/>
      <c r="U600" s="16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6"/>
      <c r="U601" s="16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6"/>
      <c r="U602" s="16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6"/>
      <c r="U603" s="16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6"/>
      <c r="U604" s="16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6"/>
      <c r="U605" s="16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6"/>
      <c r="U606" s="16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6"/>
      <c r="U607" s="16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6"/>
      <c r="U608" s="16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6"/>
      <c r="U609" s="16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6"/>
      <c r="U610" s="16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6"/>
      <c r="U611" s="16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6"/>
      <c r="U612" s="16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6"/>
      <c r="U613" s="16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6"/>
      <c r="U614" s="16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6"/>
      <c r="U615" s="16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6"/>
      <c r="U616" s="16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6"/>
      <c r="U617" s="16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6"/>
      <c r="U618" s="16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6"/>
      <c r="U619" s="16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6"/>
      <c r="U620" s="16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6"/>
      <c r="U621" s="16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6"/>
      <c r="U622" s="16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6"/>
      <c r="U623" s="16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6"/>
      <c r="U624" s="16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6"/>
      <c r="U625" s="16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6"/>
      <c r="U626" s="16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6"/>
      <c r="U627" s="16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6"/>
      <c r="U628" s="16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6"/>
      <c r="U629" s="16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6"/>
      <c r="U630" s="16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6"/>
      <c r="U631" s="16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6"/>
      <c r="U632" s="16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6"/>
      <c r="U633" s="16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6"/>
      <c r="U634" s="16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6"/>
      <c r="U635" s="16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6"/>
      <c r="U636" s="16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6"/>
      <c r="U637" s="16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6"/>
      <c r="U638" s="16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6"/>
      <c r="U639" s="16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6"/>
      <c r="U640" s="16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6"/>
      <c r="U641" s="16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6"/>
      <c r="U642" s="16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6"/>
      <c r="U643" s="16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6"/>
      <c r="U644" s="16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6"/>
      <c r="U645" s="16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6"/>
      <c r="U646" s="16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6"/>
      <c r="U647" s="16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6"/>
      <c r="U648" s="16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6"/>
      <c r="U649" s="16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6"/>
      <c r="U650" s="16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6"/>
      <c r="U651" s="16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6"/>
      <c r="U652" s="16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6"/>
      <c r="U653" s="16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6"/>
      <c r="U654" s="16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6"/>
      <c r="U655" s="16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6"/>
      <c r="U656" s="16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6"/>
      <c r="U657" s="16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6"/>
      <c r="U658" s="16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6"/>
      <c r="U659" s="16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6"/>
      <c r="U660" s="16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6"/>
      <c r="U661" s="16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6"/>
      <c r="U662" s="16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6"/>
      <c r="U663" s="16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6"/>
      <c r="U664" s="16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6"/>
      <c r="U665" s="16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6"/>
      <c r="U666" s="16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6"/>
      <c r="U667" s="16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6"/>
      <c r="U668" s="16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6"/>
      <c r="U669" s="16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6"/>
      <c r="U670" s="16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6"/>
      <c r="U671" s="16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6"/>
      <c r="U672" s="16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6"/>
      <c r="U673" s="16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6"/>
      <c r="U674" s="16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6"/>
      <c r="U675" s="16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6"/>
      <c r="U676" s="16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6"/>
      <c r="U677" s="16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6"/>
      <c r="U678" s="16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6"/>
      <c r="U679" s="16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6"/>
      <c r="U680" s="16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6"/>
      <c r="U681" s="16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6"/>
      <c r="U682" s="16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6"/>
      <c r="U683" s="16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6"/>
      <c r="U684" s="16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6"/>
      <c r="U685" s="16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6"/>
      <c r="U686" s="16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6"/>
      <c r="U687" s="16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6"/>
      <c r="U688" s="16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6"/>
      <c r="U689" s="16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6"/>
      <c r="U690" s="16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6"/>
      <c r="U691" s="16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6"/>
      <c r="U692" s="16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6"/>
      <c r="U693" s="16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6"/>
      <c r="U694" s="16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6"/>
      <c r="U695" s="16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6"/>
      <c r="U696" s="16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6"/>
      <c r="U697" s="16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6"/>
      <c r="U698" s="16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6"/>
      <c r="U699" s="16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6"/>
      <c r="U700" s="16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6"/>
      <c r="U701" s="16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6"/>
      <c r="U702" s="16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6"/>
      <c r="U703" s="16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6"/>
      <c r="U704" s="16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6"/>
      <c r="U705" s="16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6"/>
      <c r="U706" s="16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6"/>
      <c r="U707" s="16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6"/>
      <c r="U708" s="16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6"/>
      <c r="U709" s="16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6"/>
      <c r="U710" s="16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6"/>
      <c r="U711" s="16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6"/>
      <c r="U712" s="16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6"/>
      <c r="U713" s="16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6"/>
      <c r="U714" s="16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6"/>
      <c r="U715" s="16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6"/>
      <c r="U716" s="16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6"/>
      <c r="U717" s="16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6"/>
      <c r="U718" s="16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6"/>
      <c r="U719" s="16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6"/>
      <c r="U720" s="16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6"/>
      <c r="U721" s="16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6"/>
      <c r="U722" s="16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6"/>
      <c r="U723" s="16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6"/>
      <c r="U724" s="16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6"/>
      <c r="U725" s="16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6"/>
      <c r="U726" s="16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6"/>
      <c r="U727" s="16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6"/>
      <c r="U728" s="16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6"/>
      <c r="U729" s="16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6"/>
      <c r="U730" s="16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6"/>
      <c r="U731" s="16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6"/>
      <c r="U732" s="16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6"/>
      <c r="U733" s="16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6"/>
      <c r="U734" s="16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6"/>
      <c r="U735" s="16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6"/>
      <c r="U736" s="16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6"/>
      <c r="U737" s="16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6"/>
      <c r="U738" s="16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6"/>
      <c r="U739" s="16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6"/>
      <c r="U740" s="16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6"/>
      <c r="U741" s="16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6"/>
      <c r="U742" s="16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6"/>
      <c r="U743" s="16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6"/>
      <c r="U744" s="16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6"/>
      <c r="U745" s="16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6"/>
      <c r="U746" s="16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6"/>
      <c r="U747" s="16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6"/>
      <c r="U748" s="16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6"/>
      <c r="U749" s="16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6"/>
      <c r="U750" s="16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6"/>
      <c r="U751" s="16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6"/>
      <c r="U752" s="16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6"/>
      <c r="U753" s="16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6"/>
      <c r="U754" s="16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6"/>
      <c r="U755" s="16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6"/>
      <c r="U756" s="16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6"/>
      <c r="U757" s="16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6"/>
      <c r="U758" s="16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6"/>
      <c r="U759" s="16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6"/>
      <c r="U760" s="16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6"/>
      <c r="U761" s="16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6"/>
      <c r="U762" s="16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6"/>
      <c r="U763" s="16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6"/>
      <c r="U764" s="16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6"/>
      <c r="U765" s="16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6"/>
      <c r="U766" s="16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6"/>
      <c r="U767" s="16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6"/>
      <c r="U768" s="16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6"/>
      <c r="U769" s="16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6"/>
      <c r="U770" s="16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6"/>
      <c r="U771" s="16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6"/>
      <c r="U772" s="16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6"/>
      <c r="U773" s="16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6"/>
      <c r="U774" s="16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6"/>
      <c r="U775" s="16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6"/>
      <c r="U776" s="16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6"/>
      <c r="U777" s="16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6"/>
      <c r="U778" s="16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6"/>
      <c r="U779" s="16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6"/>
      <c r="U780" s="16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6"/>
      <c r="U781" s="16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6"/>
      <c r="U782" s="16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6"/>
      <c r="U783" s="16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6"/>
      <c r="U784" s="16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6"/>
      <c r="U785" s="16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6"/>
      <c r="U786" s="16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6"/>
      <c r="U787" s="16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6"/>
      <c r="U788" s="16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6"/>
      <c r="U789" s="16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6"/>
      <c r="U790" s="16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6"/>
      <c r="U791" s="16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6"/>
      <c r="U792" s="16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6"/>
      <c r="U793" s="16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6"/>
      <c r="U794" s="16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6"/>
      <c r="U795" s="16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6"/>
      <c r="U796" s="16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6"/>
      <c r="U797" s="16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6"/>
      <c r="U798" s="16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6"/>
      <c r="U799" s="16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6"/>
      <c r="U800" s="16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6"/>
      <c r="U801" s="16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6"/>
      <c r="U802" s="16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6"/>
      <c r="U803" s="16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6"/>
      <c r="U804" s="16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6"/>
      <c r="U805" s="16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6"/>
      <c r="U806" s="16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6"/>
      <c r="U807" s="16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6"/>
      <c r="U808" s="16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6"/>
      <c r="U809" s="16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6"/>
      <c r="U810" s="16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6"/>
      <c r="U811" s="16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6"/>
      <c r="U812" s="16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6"/>
      <c r="U813" s="16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6"/>
      <c r="U814" s="16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6"/>
      <c r="U815" s="16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6"/>
      <c r="U816" s="16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6"/>
      <c r="U817" s="16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6"/>
      <c r="U818" s="16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6"/>
      <c r="U819" s="16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6"/>
      <c r="U820" s="16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6"/>
      <c r="U821" s="16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6"/>
      <c r="U822" s="16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6"/>
      <c r="U823" s="16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6"/>
      <c r="U824" s="16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6"/>
      <c r="U825" s="16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6"/>
      <c r="U826" s="16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6"/>
      <c r="U827" s="16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6"/>
      <c r="U828" s="16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6"/>
      <c r="U829" s="16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6"/>
      <c r="U830" s="16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6"/>
      <c r="U831" s="16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6"/>
      <c r="U832" s="16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6"/>
      <c r="U833" s="16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6"/>
      <c r="U834" s="16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6"/>
      <c r="U835" s="16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6"/>
      <c r="U836" s="16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6"/>
      <c r="U837" s="16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6"/>
      <c r="U838" s="16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6"/>
      <c r="U839" s="16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6"/>
      <c r="U840" s="16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6"/>
      <c r="U841" s="16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6"/>
      <c r="U842" s="16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6"/>
      <c r="U843" s="16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6"/>
      <c r="U844" s="16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6"/>
      <c r="U845" s="16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6"/>
      <c r="U846" s="16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6"/>
      <c r="U847" s="16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6"/>
      <c r="U848" s="16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6"/>
      <c r="U849" s="16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6"/>
      <c r="U850" s="16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6"/>
      <c r="U851" s="16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6"/>
      <c r="U852" s="16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6"/>
      <c r="U853" s="16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6"/>
      <c r="U854" s="16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6"/>
      <c r="U855" s="16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6"/>
      <c r="U856" s="16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6"/>
      <c r="U857" s="16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6"/>
      <c r="U858" s="16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6"/>
      <c r="U859" s="16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6"/>
      <c r="U860" s="16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6"/>
      <c r="U861" s="16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6"/>
      <c r="U862" s="16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6"/>
      <c r="U863" s="16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6"/>
      <c r="U864" s="16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6"/>
      <c r="U865" s="16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6"/>
      <c r="U866" s="16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6"/>
      <c r="U867" s="16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6"/>
      <c r="U868" s="16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6"/>
      <c r="U869" s="16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6"/>
      <c r="U870" s="16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6"/>
      <c r="U871" s="16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6"/>
      <c r="U872" s="16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6"/>
      <c r="U873" s="16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6"/>
      <c r="U874" s="16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6"/>
      <c r="U875" s="16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6"/>
      <c r="U876" s="16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6"/>
      <c r="U877" s="16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6"/>
      <c r="U878" s="16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6"/>
      <c r="U879" s="16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6"/>
      <c r="U880" s="16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6"/>
      <c r="U881" s="16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6"/>
      <c r="U882" s="16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6"/>
      <c r="U883" s="16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6"/>
      <c r="U884" s="16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6"/>
      <c r="U885" s="16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6"/>
      <c r="U886" s="16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6"/>
      <c r="U887" s="16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6"/>
      <c r="U888" s="16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6"/>
      <c r="U889" s="16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6"/>
      <c r="U890" s="16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6"/>
      <c r="U891" s="16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6"/>
      <c r="U892" s="16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6"/>
      <c r="U893" s="16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6"/>
      <c r="U894" s="16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6"/>
      <c r="U895" s="16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6"/>
      <c r="U896" s="16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6"/>
      <c r="U897" s="16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6"/>
      <c r="U898" s="16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6"/>
      <c r="U899" s="16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6"/>
      <c r="U900" s="16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6"/>
      <c r="U901" s="16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6"/>
      <c r="U902" s="16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6"/>
      <c r="U903" s="16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6"/>
      <c r="U904" s="16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6"/>
      <c r="U905" s="16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6"/>
      <c r="U906" s="16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6"/>
      <c r="U907" s="16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6"/>
      <c r="U908" s="16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6"/>
      <c r="U909" s="16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6"/>
      <c r="U910" s="16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6"/>
      <c r="U911" s="16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6"/>
      <c r="U912" s="16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6"/>
      <c r="U913" s="16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6"/>
      <c r="U914" s="16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6"/>
      <c r="U915" s="16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6"/>
      <c r="U916" s="16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6"/>
      <c r="U917" s="16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6"/>
      <c r="U918" s="16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6"/>
      <c r="U919" s="16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6"/>
      <c r="U920" s="16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6"/>
      <c r="U921" s="16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6"/>
      <c r="U922" s="16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6"/>
      <c r="U923" s="16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6"/>
      <c r="U924" s="16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6"/>
      <c r="U925" s="16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6"/>
      <c r="U926" s="16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6"/>
      <c r="U927" s="16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6"/>
      <c r="U928" s="16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6"/>
      <c r="U929" s="16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6"/>
      <c r="U930" s="16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6"/>
      <c r="U931" s="16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6"/>
      <c r="U932" s="16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6"/>
      <c r="U933" s="16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6"/>
      <c r="U934" s="16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6"/>
      <c r="U935" s="16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6"/>
      <c r="U936" s="16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6"/>
      <c r="U937" s="16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6"/>
      <c r="U938" s="16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6"/>
      <c r="U939" s="16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6"/>
      <c r="U940" s="16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6"/>
      <c r="U941" s="16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6"/>
      <c r="U942" s="16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6"/>
      <c r="U943" s="16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6"/>
      <c r="U944" s="16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6"/>
      <c r="U945" s="16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6"/>
      <c r="U946" s="16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6"/>
      <c r="U947" s="16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6"/>
      <c r="U948" s="16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6"/>
      <c r="U949" s="16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6"/>
      <c r="U950" s="16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6"/>
      <c r="U951" s="16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6"/>
      <c r="U952" s="16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6"/>
      <c r="U953" s="16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6"/>
      <c r="U954" s="16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6"/>
      <c r="U955" s="16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6"/>
      <c r="U956" s="16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6"/>
      <c r="U957" s="16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6"/>
      <c r="U958" s="16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6"/>
      <c r="U959" s="16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6"/>
      <c r="U960" s="16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6"/>
      <c r="U961" s="16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6"/>
      <c r="U962" s="16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6"/>
      <c r="U963" s="16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6"/>
      <c r="U964" s="16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6"/>
      <c r="U965" s="16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6"/>
      <c r="U966" s="16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6"/>
      <c r="U967" s="16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6"/>
      <c r="U968" s="16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6"/>
      <c r="U969" s="16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6"/>
      <c r="U970" s="16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6"/>
      <c r="U971" s="16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6"/>
      <c r="U972" s="16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6"/>
      <c r="U973" s="16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6"/>
      <c r="U974" s="16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6"/>
      <c r="U975" s="16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6"/>
      <c r="U976" s="16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6"/>
      <c r="U977" s="16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6"/>
      <c r="U978" s="16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6"/>
      <c r="U979" s="16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6"/>
      <c r="U980" s="16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6"/>
      <c r="U981" s="16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6"/>
      <c r="U982" s="16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6"/>
      <c r="U983" s="16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6"/>
      <c r="U984" s="16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6"/>
      <c r="U985" s="16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6"/>
      <c r="U986" s="16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6"/>
      <c r="U987" s="16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6"/>
      <c r="U988" s="16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6"/>
      <c r="U989" s="16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6"/>
      <c r="U990" s="16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6"/>
      <c r="U991" s="16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6"/>
      <c r="U992" s="16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6"/>
      <c r="U993" s="16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6"/>
      <c r="U994" s="16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6"/>
      <c r="U995" s="16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6"/>
      <c r="U996" s="16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6"/>
      <c r="U997" s="16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6"/>
      <c r="U998" s="16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6"/>
      <c r="U999" s="16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5" t="s">
        <v>290</v>
      </c>
      <c r="B1" s="5" t="s">
        <v>200</v>
      </c>
      <c r="C1" s="5" t="s">
        <v>293</v>
      </c>
      <c r="D1" s="5" t="s">
        <v>295</v>
      </c>
      <c r="E1" s="5" t="s">
        <v>297</v>
      </c>
      <c r="F1" s="5" t="s">
        <v>298</v>
      </c>
      <c r="G1" s="5" t="s">
        <v>300</v>
      </c>
      <c r="H1" s="5" t="s">
        <v>301</v>
      </c>
      <c r="I1" s="5" t="s">
        <v>303</v>
      </c>
      <c r="J1" s="5" t="s">
        <v>304</v>
      </c>
    </row>
    <row r="2">
      <c r="A2" s="5" t="s">
        <v>125</v>
      </c>
    </row>
    <row r="3">
      <c r="A3" s="5" t="s">
        <v>18</v>
      </c>
    </row>
    <row r="4">
      <c r="A4" s="5" t="s">
        <v>26</v>
      </c>
    </row>
    <row r="5">
      <c r="A5" s="5" t="s">
        <v>31</v>
      </c>
    </row>
    <row r="6">
      <c r="A6" s="5" t="s">
        <v>35</v>
      </c>
    </row>
    <row r="7">
      <c r="A7" s="5" t="s">
        <v>40</v>
      </c>
    </row>
    <row r="8">
      <c r="A8" s="5" t="s">
        <v>44</v>
      </c>
    </row>
    <row r="9">
      <c r="A9" s="20" t="s">
        <v>48</v>
      </c>
    </row>
    <row r="10">
      <c r="A10" s="5" t="s">
        <v>55</v>
      </c>
    </row>
    <row r="11">
      <c r="A11" s="5" t="s">
        <v>71</v>
      </c>
    </row>
    <row r="12">
      <c r="A12" s="20" t="s">
        <v>80</v>
      </c>
    </row>
    <row r="13">
      <c r="A13" s="5" t="s">
        <v>85</v>
      </c>
    </row>
    <row r="14">
      <c r="A14" s="5" t="s">
        <v>325</v>
      </c>
    </row>
    <row r="15">
      <c r="A15" s="5" t="s">
        <v>94</v>
      </c>
    </row>
    <row r="16">
      <c r="A16" s="5" t="s">
        <v>98</v>
      </c>
    </row>
    <row r="17">
      <c r="A17" s="5" t="s">
        <v>102</v>
      </c>
    </row>
    <row r="18">
      <c r="A18" s="5" t="s">
        <v>106</v>
      </c>
    </row>
    <row r="19">
      <c r="A19" s="5" t="s">
        <v>109</v>
      </c>
    </row>
    <row r="20">
      <c r="A20" s="20" t="s">
        <v>113</v>
      </c>
    </row>
    <row r="21">
      <c r="A21" s="5" t="s">
        <v>117</v>
      </c>
    </row>
    <row r="22">
      <c r="A22" s="5" t="s">
        <v>121</v>
      </c>
    </row>
    <row r="23">
      <c r="A23" s="5" t="s">
        <v>126</v>
      </c>
    </row>
    <row r="24">
      <c r="A24" s="5" t="s">
        <v>133</v>
      </c>
    </row>
    <row r="25">
      <c r="A25" s="5" t="s">
        <v>136</v>
      </c>
    </row>
    <row r="26">
      <c r="A26" s="5" t="s">
        <v>140</v>
      </c>
    </row>
    <row r="27">
      <c r="A27" s="5" t="s">
        <v>144</v>
      </c>
    </row>
    <row r="28">
      <c r="A28" s="5" t="s">
        <v>147</v>
      </c>
    </row>
    <row r="29">
      <c r="A29" s="5" t="s">
        <v>152</v>
      </c>
    </row>
    <row r="30">
      <c r="A30" s="5" t="s">
        <v>159</v>
      </c>
    </row>
    <row r="31">
      <c r="A31" s="5" t="s">
        <v>162</v>
      </c>
    </row>
    <row r="32">
      <c r="A32" s="5" t="s">
        <v>165</v>
      </c>
    </row>
    <row r="33">
      <c r="A33" s="5" t="s">
        <v>171</v>
      </c>
    </row>
    <row r="34">
      <c r="A34" s="5" t="s">
        <v>178</v>
      </c>
    </row>
    <row r="35">
      <c r="A35" s="5" t="s">
        <v>186</v>
      </c>
    </row>
    <row r="36">
      <c r="A36" s="5" t="s">
        <v>198</v>
      </c>
    </row>
    <row r="37">
      <c r="A37" s="5" t="s">
        <v>204</v>
      </c>
    </row>
    <row r="38">
      <c r="A38" s="5" t="s">
        <v>215</v>
      </c>
    </row>
    <row r="39">
      <c r="A39" s="5" t="s">
        <v>219</v>
      </c>
    </row>
    <row r="40">
      <c r="A40" s="5" t="s">
        <v>230</v>
      </c>
    </row>
    <row r="41">
      <c r="A41" s="5" t="s">
        <v>355</v>
      </c>
    </row>
    <row r="42">
      <c r="A42" s="5" t="s">
        <v>233</v>
      </c>
    </row>
    <row r="43">
      <c r="A43" s="5" t="s">
        <v>237</v>
      </c>
    </row>
    <row r="44">
      <c r="A44" s="5" t="s">
        <v>241</v>
      </c>
    </row>
    <row r="45">
      <c r="A45" s="5" t="s">
        <v>245</v>
      </c>
    </row>
    <row r="46">
      <c r="A46" s="20" t="s">
        <v>248</v>
      </c>
    </row>
    <row r="47">
      <c r="A47" s="5" t="s">
        <v>251</v>
      </c>
    </row>
    <row r="48">
      <c r="A48" s="5" t="s">
        <v>254</v>
      </c>
    </row>
    <row r="49">
      <c r="A49" s="5" t="s">
        <v>259</v>
      </c>
    </row>
    <row r="50">
      <c r="A50" s="5" t="s">
        <v>262</v>
      </c>
    </row>
    <row r="51">
      <c r="A51" s="5" t="s">
        <v>265</v>
      </c>
    </row>
    <row r="52">
      <c r="A52" s="5" t="s">
        <v>270</v>
      </c>
    </row>
    <row r="53">
      <c r="A53" s="5" t="s">
        <v>276</v>
      </c>
    </row>
    <row r="54">
      <c r="A54" s="5" t="s">
        <v>279</v>
      </c>
    </row>
    <row r="55">
      <c r="A55" s="5" t="s">
        <v>282</v>
      </c>
    </row>
    <row r="56">
      <c r="A56" s="5" t="s">
        <v>288</v>
      </c>
    </row>
    <row r="57">
      <c r="A57" s="5" t="s">
        <v>312</v>
      </c>
    </row>
    <row r="58">
      <c r="A58" s="5" t="s">
        <v>315</v>
      </c>
    </row>
    <row r="59">
      <c r="A59" s="5" t="s">
        <v>322</v>
      </c>
    </row>
    <row r="60">
      <c r="A60" s="5" t="s">
        <v>326</v>
      </c>
    </row>
    <row r="61">
      <c r="A61" s="5" t="s">
        <v>386</v>
      </c>
    </row>
    <row r="62">
      <c r="A62" s="5" t="s">
        <v>335</v>
      </c>
    </row>
    <row r="63">
      <c r="A63" s="5" t="s">
        <v>341</v>
      </c>
    </row>
    <row r="64">
      <c r="A64" s="5" t="s">
        <v>344</v>
      </c>
    </row>
    <row r="65">
      <c r="A65" s="5" t="s">
        <v>349</v>
      </c>
    </row>
    <row r="66">
      <c r="A66" s="5" t="s">
        <v>354</v>
      </c>
    </row>
    <row r="67">
      <c r="A67" s="5" t="s">
        <v>358</v>
      </c>
    </row>
    <row r="68">
      <c r="A68" s="5" t="s">
        <v>361</v>
      </c>
    </row>
    <row r="69">
      <c r="A69" s="5" t="s">
        <v>365</v>
      </c>
    </row>
    <row r="70">
      <c r="A70" s="20" t="s">
        <v>369</v>
      </c>
    </row>
    <row r="71">
      <c r="A71" s="20" t="s">
        <v>373</v>
      </c>
    </row>
    <row r="72">
      <c r="A72" s="20" t="s">
        <v>376</v>
      </c>
    </row>
    <row r="73">
      <c r="A73" s="20" t="s">
        <v>380</v>
      </c>
    </row>
    <row r="74">
      <c r="A74" s="5" t="s">
        <v>384</v>
      </c>
    </row>
    <row r="75">
      <c r="A75" s="20" t="s">
        <v>388</v>
      </c>
    </row>
    <row r="76">
      <c r="A76" s="5" t="s">
        <v>391</v>
      </c>
    </row>
    <row r="77">
      <c r="A77" s="5" t="s">
        <v>396</v>
      </c>
    </row>
    <row r="78">
      <c r="A78" s="5" t="s">
        <v>399</v>
      </c>
    </row>
    <row r="79">
      <c r="A79" s="5" t="s">
        <v>403</v>
      </c>
    </row>
    <row r="80">
      <c r="A80" s="5" t="s">
        <v>408</v>
      </c>
    </row>
    <row r="81">
      <c r="A81" s="5" t="s">
        <v>414</v>
      </c>
    </row>
    <row r="82">
      <c r="A82" s="5" t="s">
        <v>420</v>
      </c>
    </row>
    <row r="83">
      <c r="A83" s="5" t="s">
        <v>423</v>
      </c>
    </row>
    <row r="84">
      <c r="A84" s="5" t="s">
        <v>426</v>
      </c>
    </row>
    <row r="85">
      <c r="A85" s="5" t="s">
        <v>432</v>
      </c>
    </row>
    <row r="86">
      <c r="A86" s="5" t="s">
        <v>434</v>
      </c>
    </row>
    <row r="87">
      <c r="A87" s="5" t="s">
        <v>436</v>
      </c>
    </row>
    <row r="88">
      <c r="A88" s="5" t="s">
        <v>438</v>
      </c>
    </row>
    <row r="89">
      <c r="A89" s="5" t="s">
        <v>441</v>
      </c>
    </row>
    <row r="90">
      <c r="A90" s="5" t="s">
        <v>445</v>
      </c>
    </row>
    <row r="91">
      <c r="A91" s="5" t="s">
        <v>446</v>
      </c>
    </row>
    <row r="92">
      <c r="A92" s="5" t="s">
        <v>453</v>
      </c>
    </row>
    <row r="93">
      <c r="A93" s="5" t="s">
        <v>456</v>
      </c>
    </row>
    <row r="94">
      <c r="A94" s="5" t="s">
        <v>459</v>
      </c>
    </row>
    <row r="95">
      <c r="A95" s="5" t="s">
        <v>461</v>
      </c>
    </row>
    <row r="96">
      <c r="A96" s="5" t="s">
        <v>463</v>
      </c>
    </row>
    <row r="97">
      <c r="A97" s="5" t="s">
        <v>464</v>
      </c>
    </row>
    <row r="98">
      <c r="A98" s="5" t="s">
        <v>466</v>
      </c>
    </row>
    <row r="99">
      <c r="A99" s="5" t="s">
        <v>469</v>
      </c>
    </row>
    <row r="100">
      <c r="A100" s="20" t="s">
        <v>470</v>
      </c>
    </row>
    <row r="101">
      <c r="A101" s="20" t="s">
        <v>472</v>
      </c>
    </row>
    <row r="102">
      <c r="A102" s="5" t="s">
        <v>476</v>
      </c>
    </row>
    <row r="103">
      <c r="A103" s="5" t="s">
        <v>478</v>
      </c>
    </row>
    <row r="104">
      <c r="A104" s="5" t="s">
        <v>480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5" t="s">
        <v>545</v>
      </c>
      <c r="B1" s="5" t="s">
        <v>200</v>
      </c>
      <c r="C1" s="5" t="s">
        <v>293</v>
      </c>
      <c r="D1" s="5" t="s">
        <v>303</v>
      </c>
      <c r="E1" s="5" t="s">
        <v>304</v>
      </c>
    </row>
    <row r="2">
      <c r="A2" s="5" t="s">
        <v>125</v>
      </c>
    </row>
    <row r="3">
      <c r="A3" s="5" t="s">
        <v>152</v>
      </c>
      <c r="D3" s="5" t="s">
        <v>546</v>
      </c>
    </row>
    <row r="4">
      <c r="A4" s="5" t="s">
        <v>152</v>
      </c>
      <c r="D4" s="5" t="s">
        <v>548</v>
      </c>
    </row>
    <row r="5">
      <c r="A5" s="5" t="s">
        <v>152</v>
      </c>
      <c r="D5" s="5" t="s">
        <v>550</v>
      </c>
    </row>
    <row r="6">
      <c r="A6" s="5" t="s">
        <v>152</v>
      </c>
      <c r="D6" s="5" t="s">
        <v>551</v>
      </c>
    </row>
    <row r="7">
      <c r="A7" s="5" t="s">
        <v>175</v>
      </c>
      <c r="D7" s="5" t="s">
        <v>552</v>
      </c>
    </row>
    <row r="8">
      <c r="A8" s="5" t="s">
        <v>175</v>
      </c>
      <c r="D8" s="5" t="s">
        <v>553</v>
      </c>
    </row>
    <row r="9">
      <c r="A9" s="5" t="s">
        <v>191</v>
      </c>
    </row>
    <row r="10">
      <c r="A10" s="5" t="s">
        <v>208</v>
      </c>
      <c r="D10" s="5" t="s">
        <v>554</v>
      </c>
    </row>
    <row r="11">
      <c r="A11" s="5" t="s">
        <v>208</v>
      </c>
      <c r="D11" s="5" t="s">
        <v>555</v>
      </c>
    </row>
    <row r="12">
      <c r="A12" s="5" t="s">
        <v>225</v>
      </c>
    </row>
    <row r="13">
      <c r="A13" s="5" t="s">
        <v>406</v>
      </c>
    </row>
    <row r="14">
      <c r="A14" s="5" t="s">
        <v>440</v>
      </c>
      <c r="D14" s="5" t="s">
        <v>556</v>
      </c>
    </row>
    <row r="15">
      <c r="A15" s="5" t="s">
        <v>440</v>
      </c>
      <c r="D15" s="5" t="s">
        <v>558</v>
      </c>
    </row>
    <row r="16">
      <c r="A16" s="5" t="s">
        <v>440</v>
      </c>
      <c r="D16" s="5" t="s">
        <v>559</v>
      </c>
    </row>
    <row r="17">
      <c r="A17" s="5" t="s">
        <v>440</v>
      </c>
      <c r="D17" s="5" t="s">
        <v>560</v>
      </c>
    </row>
    <row r="18">
      <c r="A18" s="5" t="s">
        <v>440</v>
      </c>
      <c r="D18" s="5" t="s">
        <v>551</v>
      </c>
    </row>
    <row r="19">
      <c r="A19" s="5" t="s">
        <v>440</v>
      </c>
      <c r="D19" s="5" t="s">
        <v>561</v>
      </c>
    </row>
    <row r="20">
      <c r="A20" s="5" t="s">
        <v>440</v>
      </c>
      <c r="D20" s="5" t="s">
        <v>562</v>
      </c>
    </row>
    <row r="21">
      <c r="A21" s="5" t="s">
        <v>455</v>
      </c>
      <c r="D21" s="5" t="s">
        <v>563</v>
      </c>
    </row>
    <row r="22">
      <c r="A22" s="5" t="s">
        <v>455</v>
      </c>
      <c r="D22" s="5" t="s">
        <v>564</v>
      </c>
    </row>
    <row r="23">
      <c r="A23" s="5" t="s">
        <v>455</v>
      </c>
      <c r="D23" s="5" t="s">
        <v>551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5" t="s">
        <v>290</v>
      </c>
      <c r="B1" s="5" t="s">
        <v>200</v>
      </c>
      <c r="C1" s="5" t="s">
        <v>293</v>
      </c>
      <c r="D1" s="5" t="s">
        <v>295</v>
      </c>
      <c r="E1" s="5" t="s">
        <v>297</v>
      </c>
      <c r="F1" s="5" t="s">
        <v>298</v>
      </c>
      <c r="G1" s="5" t="s">
        <v>300</v>
      </c>
      <c r="H1" s="5" t="s">
        <v>301</v>
      </c>
      <c r="I1" s="5" t="s">
        <v>303</v>
      </c>
      <c r="J1" s="5" t="s">
        <v>304</v>
      </c>
    </row>
    <row r="2">
      <c r="A2" s="5" t="s">
        <v>125</v>
      </c>
    </row>
    <row r="3">
      <c r="A3" s="5" t="s">
        <v>18</v>
      </c>
    </row>
    <row r="4">
      <c r="A4" s="5" t="s">
        <v>26</v>
      </c>
    </row>
    <row r="5">
      <c r="A5" s="5" t="s">
        <v>31</v>
      </c>
    </row>
    <row r="6">
      <c r="A6" s="5" t="s">
        <v>35</v>
      </c>
    </row>
    <row r="7">
      <c r="A7" s="5" t="s">
        <v>40</v>
      </c>
    </row>
    <row r="8">
      <c r="A8" s="5" t="s">
        <v>44</v>
      </c>
    </row>
    <row r="9">
      <c r="A9" s="5" t="s">
        <v>153</v>
      </c>
    </row>
    <row r="10">
      <c r="A10" s="5" t="s">
        <v>55</v>
      </c>
    </row>
    <row r="11">
      <c r="A11" s="5" t="s">
        <v>61</v>
      </c>
    </row>
    <row r="12">
      <c r="A12" s="5" t="s">
        <v>69</v>
      </c>
    </row>
    <row r="13">
      <c r="A13" s="5" t="s">
        <v>71</v>
      </c>
    </row>
    <row r="14">
      <c r="A14" s="5" t="s">
        <v>77</v>
      </c>
    </row>
    <row r="15">
      <c r="A15" s="5" t="s">
        <v>79</v>
      </c>
    </row>
    <row r="16">
      <c r="A16" s="5" t="s">
        <v>488</v>
      </c>
    </row>
    <row r="17">
      <c r="A17" s="5" t="s">
        <v>85</v>
      </c>
    </row>
    <row r="18">
      <c r="A18" s="5" t="s">
        <v>325</v>
      </c>
    </row>
    <row r="19">
      <c r="A19" s="5" t="s">
        <v>94</v>
      </c>
    </row>
    <row r="20">
      <c r="A20" s="5" t="s">
        <v>98</v>
      </c>
    </row>
    <row r="21">
      <c r="A21" s="5" t="s">
        <v>102</v>
      </c>
    </row>
    <row r="22">
      <c r="A22" s="5" t="s">
        <v>106</v>
      </c>
    </row>
    <row r="23">
      <c r="A23" s="5" t="s">
        <v>109</v>
      </c>
    </row>
    <row r="24">
      <c r="A24" s="5" t="s">
        <v>547</v>
      </c>
    </row>
    <row r="25">
      <c r="A25" s="5" t="s">
        <v>117</v>
      </c>
    </row>
    <row r="26">
      <c r="A26" s="5" t="s">
        <v>121</v>
      </c>
    </row>
    <row r="27">
      <c r="A27" s="5" t="s">
        <v>124</v>
      </c>
    </row>
    <row r="28">
      <c r="A28" s="5" t="s">
        <v>126</v>
      </c>
    </row>
    <row r="29">
      <c r="A29" s="5" t="s">
        <v>132</v>
      </c>
    </row>
    <row r="30">
      <c r="A30" s="5" t="s">
        <v>133</v>
      </c>
    </row>
    <row r="31">
      <c r="A31" s="5" t="s">
        <v>136</v>
      </c>
    </row>
    <row r="32">
      <c r="A32" s="5" t="s">
        <v>139</v>
      </c>
    </row>
    <row r="33">
      <c r="A33" s="5" t="s">
        <v>140</v>
      </c>
    </row>
    <row r="34">
      <c r="A34" s="5" t="s">
        <v>144</v>
      </c>
    </row>
    <row r="35">
      <c r="A35" s="5" t="s">
        <v>147</v>
      </c>
    </row>
    <row r="36">
      <c r="A36" s="5" t="s">
        <v>152</v>
      </c>
    </row>
    <row r="37">
      <c r="A37" s="5" t="s">
        <v>158</v>
      </c>
    </row>
    <row r="38">
      <c r="A38" s="5" t="s">
        <v>159</v>
      </c>
    </row>
    <row r="39">
      <c r="A39" s="5" t="s">
        <v>162</v>
      </c>
    </row>
    <row r="40">
      <c r="A40" s="5" t="s">
        <v>165</v>
      </c>
    </row>
    <row r="41">
      <c r="A41" s="5" t="s">
        <v>171</v>
      </c>
    </row>
    <row r="42">
      <c r="A42" s="5" t="s">
        <v>175</v>
      </c>
    </row>
    <row r="43">
      <c r="A43" s="5" t="s">
        <v>177</v>
      </c>
    </row>
    <row r="44">
      <c r="A44" s="5" t="s">
        <v>178</v>
      </c>
    </row>
    <row r="45">
      <c r="A45" s="5" t="s">
        <v>186</v>
      </c>
    </row>
    <row r="46">
      <c r="A46" s="5" t="s">
        <v>191</v>
      </c>
    </row>
    <row r="47">
      <c r="A47" s="5" t="s">
        <v>198</v>
      </c>
    </row>
    <row r="48">
      <c r="A48" s="5" t="s">
        <v>204</v>
      </c>
    </row>
    <row r="49">
      <c r="A49" s="5" t="s">
        <v>208</v>
      </c>
    </row>
    <row r="50">
      <c r="A50" s="5" t="s">
        <v>215</v>
      </c>
    </row>
    <row r="51">
      <c r="A51" s="5" t="s">
        <v>219</v>
      </c>
    </row>
    <row r="52">
      <c r="A52" s="5" t="s">
        <v>223</v>
      </c>
    </row>
    <row r="53">
      <c r="A53" s="5" t="s">
        <v>225</v>
      </c>
    </row>
    <row r="54">
      <c r="A54" s="5" t="s">
        <v>230</v>
      </c>
    </row>
    <row r="55">
      <c r="A55" s="5" t="s">
        <v>355</v>
      </c>
    </row>
    <row r="56">
      <c r="A56" s="5" t="s">
        <v>233</v>
      </c>
    </row>
    <row r="57">
      <c r="A57" s="5" t="s">
        <v>237</v>
      </c>
    </row>
    <row r="58">
      <c r="A58" s="5" t="s">
        <v>241</v>
      </c>
    </row>
    <row r="59">
      <c r="A59" s="5" t="s">
        <v>245</v>
      </c>
    </row>
    <row r="60">
      <c r="A60" s="5" t="s">
        <v>576</v>
      </c>
    </row>
    <row r="61">
      <c r="A61" s="5" t="s">
        <v>251</v>
      </c>
    </row>
    <row r="62">
      <c r="A62" s="5" t="s">
        <v>254</v>
      </c>
    </row>
    <row r="63">
      <c r="A63" s="5" t="s">
        <v>259</v>
      </c>
    </row>
    <row r="64">
      <c r="A64" s="5" t="s">
        <v>262</v>
      </c>
    </row>
    <row r="65">
      <c r="A65" s="5" t="s">
        <v>265</v>
      </c>
    </row>
    <row r="66">
      <c r="A66" s="5" t="s">
        <v>270</v>
      </c>
    </row>
    <row r="67">
      <c r="A67" s="5" t="s">
        <v>276</v>
      </c>
    </row>
    <row r="68">
      <c r="A68" s="5" t="s">
        <v>279</v>
      </c>
    </row>
    <row r="69">
      <c r="A69" s="5" t="s">
        <v>282</v>
      </c>
    </row>
    <row r="70">
      <c r="A70" s="5" t="s">
        <v>288</v>
      </c>
    </row>
    <row r="71">
      <c r="A71" s="5" t="s">
        <v>292</v>
      </c>
    </row>
    <row r="72">
      <c r="A72" s="5" t="s">
        <v>296</v>
      </c>
    </row>
    <row r="73">
      <c r="A73" s="5" t="s">
        <v>299</v>
      </c>
    </row>
    <row r="74">
      <c r="A74" s="5" t="s">
        <v>302</v>
      </c>
    </row>
    <row r="75">
      <c r="A75" s="5" t="s">
        <v>306</v>
      </c>
    </row>
    <row r="76">
      <c r="A76" s="5" t="s">
        <v>309</v>
      </c>
    </row>
    <row r="77">
      <c r="A77" s="5" t="s">
        <v>310</v>
      </c>
    </row>
    <row r="78">
      <c r="A78" s="5" t="s">
        <v>311</v>
      </c>
    </row>
    <row r="79">
      <c r="A79" s="5" t="s">
        <v>312</v>
      </c>
    </row>
    <row r="80">
      <c r="A80" s="5" t="s">
        <v>315</v>
      </c>
    </row>
    <row r="81">
      <c r="A81" s="5" t="s">
        <v>322</v>
      </c>
    </row>
    <row r="82">
      <c r="A82" s="5" t="s">
        <v>326</v>
      </c>
    </row>
    <row r="83">
      <c r="A83" s="5" t="s">
        <v>578</v>
      </c>
    </row>
    <row r="84">
      <c r="A84" s="5" t="s">
        <v>386</v>
      </c>
    </row>
    <row r="85">
      <c r="A85" s="5" t="s">
        <v>335</v>
      </c>
    </row>
    <row r="86">
      <c r="A86" s="5" t="s">
        <v>341</v>
      </c>
    </row>
    <row r="87">
      <c r="A87" s="5" t="s">
        <v>344</v>
      </c>
    </row>
    <row r="88">
      <c r="A88" s="5" t="s">
        <v>347</v>
      </c>
    </row>
    <row r="89">
      <c r="A89" s="5" t="s">
        <v>349</v>
      </c>
    </row>
    <row r="90">
      <c r="A90" s="5" t="s">
        <v>354</v>
      </c>
    </row>
    <row r="91">
      <c r="A91" s="5" t="s">
        <v>358</v>
      </c>
    </row>
    <row r="92">
      <c r="A92" s="5" t="s">
        <v>361</v>
      </c>
    </row>
    <row r="93">
      <c r="A93" s="5" t="s">
        <v>365</v>
      </c>
    </row>
    <row r="94">
      <c r="A94" s="5" t="s">
        <v>580</v>
      </c>
    </row>
    <row r="95">
      <c r="A95" s="5" t="s">
        <v>581</v>
      </c>
    </row>
    <row r="96">
      <c r="A96" s="5" t="s">
        <v>582</v>
      </c>
    </row>
    <row r="97">
      <c r="A97" s="5" t="s">
        <v>583</v>
      </c>
    </row>
    <row r="98">
      <c r="A98" s="5" t="s">
        <v>584</v>
      </c>
    </row>
    <row r="99">
      <c r="A99" s="5" t="s">
        <v>384</v>
      </c>
    </row>
    <row r="100">
      <c r="A100" s="5" t="s">
        <v>585</v>
      </c>
    </row>
    <row r="101">
      <c r="A101" s="5" t="s">
        <v>391</v>
      </c>
    </row>
    <row r="102">
      <c r="A102" s="5" t="s">
        <v>396</v>
      </c>
    </row>
    <row r="103">
      <c r="A103" s="5" t="s">
        <v>399</v>
      </c>
    </row>
    <row r="104">
      <c r="A104" s="5" t="s">
        <v>403</v>
      </c>
    </row>
    <row r="105">
      <c r="A105" s="5" t="s">
        <v>406</v>
      </c>
    </row>
    <row r="106">
      <c r="A106" s="5" t="s">
        <v>408</v>
      </c>
    </row>
    <row r="107">
      <c r="A107" s="5" t="s">
        <v>414</v>
      </c>
    </row>
    <row r="108">
      <c r="A108" s="5" t="s">
        <v>417</v>
      </c>
    </row>
    <row r="109">
      <c r="A109" s="5" t="s">
        <v>587</v>
      </c>
    </row>
    <row r="110">
      <c r="A110" s="5" t="s">
        <v>420</v>
      </c>
    </row>
    <row r="111">
      <c r="A111" s="5" t="s">
        <v>423</v>
      </c>
    </row>
    <row r="112">
      <c r="A112" s="5" t="s">
        <v>426</v>
      </c>
    </row>
    <row r="113">
      <c r="A113" s="5" t="s">
        <v>432</v>
      </c>
    </row>
    <row r="114">
      <c r="A114" s="5" t="s">
        <v>434</v>
      </c>
    </row>
    <row r="115">
      <c r="A115" s="5" t="s">
        <v>440</v>
      </c>
    </row>
    <row r="116">
      <c r="A116" s="5" t="s">
        <v>436</v>
      </c>
    </row>
    <row r="117">
      <c r="A117" s="5" t="s">
        <v>438</v>
      </c>
    </row>
    <row r="118">
      <c r="A118" s="5" t="s">
        <v>455</v>
      </c>
    </row>
    <row r="119">
      <c r="A119" s="5" t="s">
        <v>589</v>
      </c>
    </row>
    <row r="120">
      <c r="A120" s="5" t="s">
        <v>441</v>
      </c>
    </row>
    <row r="121">
      <c r="A121" s="5" t="s">
        <v>445</v>
      </c>
    </row>
    <row r="122">
      <c r="A122" s="5" t="s">
        <v>446</v>
      </c>
    </row>
    <row r="123">
      <c r="A123" s="5" t="s">
        <v>453</v>
      </c>
    </row>
    <row r="124">
      <c r="A124" s="5" t="s">
        <v>590</v>
      </c>
    </row>
    <row r="125">
      <c r="A125" s="5" t="s">
        <v>456</v>
      </c>
    </row>
    <row r="126">
      <c r="A126" s="5" t="s">
        <v>489</v>
      </c>
    </row>
    <row r="127">
      <c r="A127" s="5" t="s">
        <v>491</v>
      </c>
    </row>
    <row r="128">
      <c r="A128" s="5" t="s">
        <v>492</v>
      </c>
    </row>
    <row r="129">
      <c r="A129" s="5" t="s">
        <v>493</v>
      </c>
    </row>
    <row r="130">
      <c r="A130" s="5" t="s">
        <v>494</v>
      </c>
    </row>
    <row r="131">
      <c r="A131" s="5" t="s">
        <v>495</v>
      </c>
    </row>
    <row r="132">
      <c r="A132" s="5" t="s">
        <v>496</v>
      </c>
    </row>
    <row r="133">
      <c r="A133" s="5" t="s">
        <v>500</v>
      </c>
    </row>
    <row r="134">
      <c r="A134" s="5" t="s">
        <v>501</v>
      </c>
    </row>
    <row r="135">
      <c r="A135" s="5" t="s">
        <v>502</v>
      </c>
    </row>
    <row r="136">
      <c r="A136" s="5" t="s">
        <v>503</v>
      </c>
    </row>
    <row r="137">
      <c r="A137" s="5" t="s">
        <v>506</v>
      </c>
    </row>
    <row r="138">
      <c r="A138" s="5" t="s">
        <v>508</v>
      </c>
    </row>
    <row r="139">
      <c r="A139" s="5" t="s">
        <v>509</v>
      </c>
    </row>
    <row r="140">
      <c r="A140" s="5" t="s">
        <v>510</v>
      </c>
    </row>
    <row r="141">
      <c r="A141" s="5" t="s">
        <v>459</v>
      </c>
    </row>
    <row r="142">
      <c r="A142" s="5" t="s">
        <v>461</v>
      </c>
    </row>
    <row r="143">
      <c r="A143" s="5" t="s">
        <v>463</v>
      </c>
    </row>
    <row r="144">
      <c r="A144" s="5" t="s">
        <v>464</v>
      </c>
    </row>
    <row r="145">
      <c r="A145" s="5" t="s">
        <v>466</v>
      </c>
    </row>
    <row r="146">
      <c r="A146" s="5" t="s">
        <v>469</v>
      </c>
    </row>
    <row r="147">
      <c r="A147" s="5" t="s">
        <v>525</v>
      </c>
    </row>
    <row r="148">
      <c r="A148" s="5" t="s">
        <v>594</v>
      </c>
    </row>
    <row r="149">
      <c r="A149" s="5" t="s">
        <v>529</v>
      </c>
    </row>
    <row r="150">
      <c r="A150" s="5" t="s">
        <v>596</v>
      </c>
    </row>
    <row r="151">
      <c r="A151" s="5" t="s">
        <v>476</v>
      </c>
    </row>
    <row r="152">
      <c r="A152" s="5" t="s">
        <v>478</v>
      </c>
    </row>
    <row r="153">
      <c r="A153" s="5" t="s">
        <v>480</v>
      </c>
    </row>
  </sheetData>
  <drawing r:id="rId1"/>
</worksheet>
</file>